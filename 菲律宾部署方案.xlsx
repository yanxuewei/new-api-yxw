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说明与总览" sheetId="1" r:id="rId3"/>
    <sheet name="账号与域名申请" sheetId="2" r:id="rId4"/>
    <sheet name="资源清单-马尼拉" sheetId="3" r:id="rId5"/>
    <sheet name="资源清单-新加坡" sheetId="4" r:id="rId6"/>
    <sheet name="网络与安全规划" sheetId="5" r:id="rId7"/>
    <sheet name="落地计划" sheetId="6" r:id="rId8"/>
    <sheet name="里程碑与验收" sheetId="7" r:id="rId9"/>
  </sheets>
  <definedNames>
    <definedName name="_xlnm._FilterDatabase" localSheetId="5" hidden="1">落地计划!$A$3:$V$42</definedName>
    <definedName name="_xlnm._FilterDatabase" localSheetId="3" hidden="1">'资源清单-新加坡'!$A$3:$M$21</definedName>
    <definedName name="_xlnm._FilterDatabase" localSheetId="1" hidden="1">账号与域名申请!$A$3:$K$22</definedName>
    <definedName name="_xlnm._FilterDatabase" localSheetId="2" hidden="1">'资源清单-马尼拉'!$A$3:$M$32</definedName>
  </definedNames>
  <calcPr calcId="144525"/>
</workbook>
</file>

<file path=xl/sharedStrings.xml><?xml version="1.0" encoding="utf-8"?>
<sst xmlns="http://schemas.openxmlformats.org/spreadsheetml/2006/main" count="868" uniqueCount="868">
  <si>
    <t/>
  </si>
  <si>
    <t>new-api 菲律宾部署方案 · 部署清单与 5 天落地计划（2 人全职）</t>
  </si>
  <si>
    <t>项目信息</t>
  </si>
  <si>
    <t>项目名称</t>
  </si>
  <si>
    <t>new-api AI 网关（Go + React 单体二进制）· 菲律宾站部署</t>
  </si>
  <si>
    <t>文档版本</t>
  </si>
  <si>
    <t>v2.0</t>
  </si>
  <si>
    <t>编制日期</t>
  </si>
  <si>
    <t>2026-09-22</t>
  </si>
  <si>
    <t>编制依据</t>
  </si>
  <si>
    <t>impl_deploy.md 第七章「阿里云部署方案（菲律宾 + 泰国）」7.1 – 7.10</t>
  </si>
  <si>
    <t>主站点</t>
  </si>
  <si>
    <t>阿里云国际站 · 菲律宾 马尼拉 ap-southeast-6（承载菲律宾常态流量）</t>
  </si>
  <si>
    <t>备 region</t>
  </si>
  <si>
    <t>阿里云国际站 · 新加坡 ap-southeast-1（仅承载 PH 备工作负载，可与泰国备共用集群）</t>
  </si>
  <si>
    <t>数据库策略</t>
  </si>
  <si>
    <t>RDS PostgreSQL 高可用版【仅部署于马尼拉】；新加坡不部署任何数据库，备 region 经 RDS 公网地址 + TLS(verify-full) + IP 白名单读写马尼拉主库，不双写、无 DTS 链路</t>
  </si>
  <si>
    <t>上游出口</t>
  </si>
  <si>
    <t>马尼拉 / 新加坡 NAT 固定 EIP 池 → 全球加速 GA → OpenAI / Anthropic / Google / Azure / AWS 等</t>
  </si>
  <si>
    <t>目标 SLA</t>
  </si>
  <si>
    <t>≥ 99.95%（月度不可用预算 21.6 分钟）</t>
  </si>
  <si>
    <t>总工期</t>
  </si>
  <si>
    <t>5 个自然日（D1–D5）；2 人全职，合计 10 人日 / 80 人时</t>
  </si>
  <si>
    <t>关键前提（门禁 G0）</t>
  </si>
  <si>
    <t>T-3 前置项（企业实名认证、资源配额审批、域名 NS 生效、证书签发、云产品开通、代码侧补建项）必须全部完成；任一项未完成则 5 天工期不可达，须顺延</t>
  </si>
  <si>
    <t>工期风险等级</t>
  </si>
  <si>
    <t>高：无缓冲日、无人员冗余。已在「里程碑与验收」给出风险清单与裁剪预案</t>
  </si>
  <si>
    <t>假设与关键参数（黄色底单元格需按实际情况确认/替换）</t>
  </si>
  <si>
    <t>参数</t>
  </si>
  <si>
    <t>取值</t>
  </si>
  <si>
    <t>部署启动日（D1，落地计划日期基准）</t>
  </si>
  <si>
    <t>前置启动日（T-3，账号/配额/域名/证书须在此日发起）</t>
  </si>
  <si>
    <t>投入人力</t>
  </si>
  <si>
    <t>2 人全职 —— 人员A：基础设施/网络/接入/SRE；人员B：数据/应用/CI-CD/DevOps</t>
  </si>
  <si>
    <t>人力模型</t>
  </si>
  <si>
    <t>每时段（半天）= 2 人 × 4 小时 = 8 人时；单人每时段上限 4 人时；5 天共 10 个时段</t>
  </si>
  <si>
    <t>业务域名（示例，需替换为正式域名）</t>
  </si>
  <si>
    <t>api.likha.com</t>
  </si>
  <si>
    <t>运维域名（示例）</t>
  </si>
  <si>
    <t>ops.likha.com</t>
  </si>
  <si>
    <t>镜像仓库前缀</t>
  </si>
  <si>
    <t>registry-vpc.ap-southeast-6.aliyuncs.com/newapi/new-api</t>
  </si>
  <si>
    <t>单实例规格</t>
  </si>
  <si>
    <t>g8i.2xlarge（8 vCPU / 32 GiB）</t>
  </si>
  <si>
    <t>日期口径：D1 = 部署启动日，落地计划中每项任务的日期均由此基准自动推算；任务均为「半天时段」粒度，D1上午 = 时段 S1 …… D5下午 = 时段 S10。数据来源：资源规格、数量与关键配置取自 impl_deploy.md 第 7.2 / 7.4 / 7.9 节；人时与配额为估算口径，需按实际报价与团队熟练度校准。</t>
  </si>
  <si>
    <t>清单结构</t>
  </si>
  <si>
    <t>① 账号与域名申请</t>
  </si>
  <si>
    <t>19 项前置申请：国际站注册与企业实名、支付与配额、RAM/MFA/审计、11 类云产品开通、域名实名与 NS 托管、SSL 证书、告警通道；标注【T-3 前置】与等待时长</t>
  </si>
  <si>
    <t>② 资源清单-马尼拉</t>
  </si>
  <si>
    <t>菲律宾主站点（ap-southeast-6）29 项资源：网络、接入、计算、数据、缓存、日志、存储、安全、观测，以及 master / stable / canary 三个工作负载；含落地日（D1–D4）</t>
  </si>
  <si>
    <t>③ 资源清单-新加坡</t>
  </si>
  <si>
    <t>备 region（ap-southeast-1）18 项资源：仅计算、接入与本地缓存/日志；【RDS 数量为 0，不部署】</t>
  </si>
  <si>
    <t>④ 网络与安全规划</t>
  </si>
  <si>
    <t>VPC/vSwitch 网段、EIP 规划、安全组逐条规则、KMS 凭据与轮换周期</t>
  </si>
  <si>
    <t>⑤ 落地计划</t>
  </si>
  <si>
    <t>5 天 39 项任务，按 D1–D5 × 上午/下午共 10 个时段排布；含负责人员、前置依赖、人时、甘特条、验收标准，并附【T-3 前置门禁清单】与【人力负荷校验】（每时段单人 ≤ 4 人时）</t>
  </si>
  <si>
    <t>⑥ 里程碑与验收</t>
  </si>
  <si>
    <t>G0 门禁 + M1–M5 每日里程碑、验收证据、9 项关键风险、6 项工期裁剪预案</t>
  </si>
  <si>
    <t>阿里云国际站 · 账号、实名、配额与域名申请清单（★ = 阻塞 5 天工期的 T-3 前置项）</t>
  </si>
  <si>
    <t>序号</t>
  </si>
  <si>
    <t>类别</t>
  </si>
  <si>
    <t>事项</t>
  </si>
  <si>
    <t>入口 / 平台</t>
  </si>
  <si>
    <t>关键要求与参数</t>
  </si>
  <si>
    <t>前置依赖</t>
  </si>
  <si>
    <t>负责角色</t>
  </si>
  <si>
    <t>启动时点</t>
  </si>
  <si>
    <t>工期 / 等待时长</t>
  </si>
  <si>
    <t>是否门禁项</t>
  </si>
  <si>
    <t>备注</t>
  </si>
  <si>
    <t>1</t>
  </si>
  <si>
    <t>账号注册</t>
  </si>
  <si>
    <t>注册阿里云国际站账号</t>
  </si>
  <si>
    <t>alibabacloud.com</t>
  </si>
  <si>
    <t>企业域名邮箱注册；注册国家/地区选 Philippines；绑定可接收国际短信的手机号</t>
  </si>
  <si>
    <t>—</t>
  </si>
  <si>
    <t>项目负责人</t>
  </si>
  <si>
    <t>T-3 前置</t>
  </si>
  <si>
    <t>0.5 工作日</t>
  </si>
  <si>
    <t>★ 门禁</t>
  </si>
  <si>
    <t>主账号仅用于计费与 RAM 管理，禁止日常运维使用</t>
  </si>
  <si>
    <t>2</t>
  </si>
  <si>
    <t>完成企业实名认证</t>
  </si>
  <si>
    <t>阿里云国际站 · 实名认证</t>
  </si>
  <si>
    <t>提交菲律宾主体注册文件（DTI/SEC）、法人身份证件、公司地址证明；名称须与银行账户一致</t>
  </si>
  <si>
    <t>1–2 工作日（等待）</t>
  </si>
  <si>
    <t>未实名无法购买 ECS/RDS；5 天工期最大外部风险，须 T-3 立即提交并每日跟进</t>
  </si>
  <si>
    <t>3</t>
  </si>
  <si>
    <t>开通后付费并绑定支付方式</t>
  </si>
  <si>
    <t>费用中心 · 支付方式</t>
  </si>
  <si>
    <t>绑定 Visa/MasterCard 企业卡或对公转账；开启自动扣款与余额告警</t>
  </si>
  <si>
    <t>财务</t>
  </si>
  <si>
    <t>预留不低于 3 个月账单的信用额度，避免欠费停机</t>
  </si>
  <si>
    <t>4</t>
  </si>
  <si>
    <t>账号安全</t>
  </si>
  <si>
    <t>主账号安全加固</t>
  </si>
  <si>
    <t>账号中心 · 安全设置</t>
  </si>
  <si>
    <t>开启 MFA、登录保护与异地登录告警；绑定安全邮箱与紧急联系人</t>
  </si>
  <si>
    <t>安全负责人</t>
  </si>
  <si>
    <t>OWASP：主账号不做日常操作</t>
  </si>
  <si>
    <t>5</t>
  </si>
  <si>
    <t>创建 RAM 用户与最小权限策略</t>
  </si>
  <si>
    <t>RAM 控制台</t>
  </si>
  <si>
    <t>4 个角色：admin、ops、cicd-push（仅 ACR 推送）、iac-terraform（IaC 最小权限）</t>
  </si>
  <si>
    <t>同时开启 ActionTrail，记录全部云 API 变更并保留 180 天</t>
  </si>
  <si>
    <t>6</t>
  </si>
  <si>
    <t>配置资源组与成本标签</t>
  </si>
  <si>
    <t>资源管理 / 费用中心</t>
  </si>
  <si>
    <t>资源组按 site=ph-mnl、site=sg 划分；成本标签：项目、环境、站点、成本中心</t>
  </si>
  <si>
    <t>运维负责人</t>
  </si>
  <si>
    <t>用于分账、预算告警与成本核算</t>
  </si>
  <si>
    <t>7</t>
  </si>
  <si>
    <t>配额申请</t>
  </si>
  <si>
    <t>提交资源配额（Quota）申请</t>
  </si>
  <si>
    <t>配额中心 / 工单</t>
  </si>
  <si>
    <t>ECS vCPU ≥ 64（马尼拉）+ 32（新加坡）；ALB 2；EIP ≥ 10；RDS 16C64G；Tair 4GB 主备；ClickHouse 2 节点；OSS 2；GTM 1</t>
  </si>
  <si>
    <t>2–3 工作日（等待）</t>
  </si>
  <si>
    <t>国际站默认配额常不足；工单需说明业务场景与峰值，分两批（先马尼拉后新加坡）申请</t>
  </si>
  <si>
    <t>8</t>
  </si>
  <si>
    <t>产品开通</t>
  </si>
  <si>
    <t>开通网络与计算类产品</t>
  </si>
  <si>
    <t>产品控制台</t>
  </si>
  <si>
    <t>VPC、EIP、NAT 网关、ALB、ACK Pro 托管版、ACR 企业版</t>
  </si>
  <si>
    <t>国际站需逐个产品单独开通</t>
  </si>
  <si>
    <t>9</t>
  </si>
  <si>
    <t>开通数据与缓存类产品</t>
  </si>
  <si>
    <t>RDS PostgreSQL（选 15）、Tair（Redis 兼容）、云数据库 ClickHouse（社区版 24.8）</t>
  </si>
  <si>
    <t>ClickHouse 仅承载 LOG_SQL_DSN，TTL 90 天</t>
  </si>
  <si>
    <t>10</t>
  </si>
  <si>
    <t>开通接入与安全类产品</t>
  </si>
  <si>
    <t>云解析 DNS（旗舰版）、GTM（旗舰版）、DCDN、WAF 3.0（企业版）、SSL 证书、KMS 凭据管家</t>
  </si>
  <si>
    <t>WAF 需企业版；证书需在 D1 前完成签发</t>
  </si>
  <si>
    <t>11</t>
  </si>
  <si>
    <t>开通可观测与审计类产品</t>
  </si>
  <si>
    <t>SLS、ARMS（Prometheus 版 + 应用监控）、云监控站点监控、ActionTrail</t>
  </si>
  <si>
    <t>拨测点选马尼拉、曼谷、新加坡、东京、香港</t>
  </si>
  <si>
    <t>12</t>
  </si>
  <si>
    <t>开通对象存储与镜像仓库</t>
  </si>
  <si>
    <t>OSS（同城冗余 ZRS）、ACR 企业版（马尼拉 + 新加坡两个地域实例）</t>
  </si>
  <si>
    <t>两站点须能从各自 VPC 域名拉取镜像</t>
  </si>
  <si>
    <t>13</t>
  </si>
  <si>
    <t>域名</t>
  </si>
  <si>
    <t>域名选型与注册</t>
  </si>
  <si>
    <t>阿里云国际站 · 域名</t>
  </si>
  <si>
    <t>注册/确认业务域名与运维域名；开启隐私保护与自动续费</t>
  </si>
  <si>
    <t>若使用既有域名可跳过注册，仅需完成实名与 NS 托管</t>
  </si>
  <si>
    <t>14</t>
  </si>
  <si>
    <t>域名实名认证</t>
  </si>
  <si>
    <t>域名控制台</t>
  </si>
  <si>
    <t>按注册局要求提交主体信息；未实名域名会被停止解析</t>
  </si>
  <si>
    <t>主体须与阿里云账号实名主体一致</t>
  </si>
  <si>
    <t>15</t>
  </si>
  <si>
    <t>修改 NS 为阿里云云解析并验证生效</t>
  </si>
  <si>
    <t>域名注册商 / 云解析 DNS</t>
  </si>
  <si>
    <t>将 NS 指向阿里云国际站 DNS 服务器，并用 dig 验证权威解析生效</t>
  </si>
  <si>
    <t>13,14</t>
  </si>
  <si>
    <t>生效 24–48h（等待）</t>
  </si>
  <si>
    <t>5 天工期下必须在 T-3 发起，否则 D1 接入层无法验证</t>
  </si>
  <si>
    <t>16</t>
  </si>
  <si>
    <t>创建解析记录并接入 GTM</t>
  </si>
  <si>
    <t>GTM 控制台</t>
  </si>
  <si>
    <t>主地址池 = 马尼拉 ALB；备地址池 = 新加坡 ALB；HTTP 探测 /api/status，间隔 15s，切换 ≤ 60s</t>
  </si>
  <si>
    <t>D3 上午</t>
  </si>
  <si>
    <t>见落地计划 #21</t>
  </si>
  <si>
    <t>备 region 未验证通过前不得加入备地址池</t>
  </si>
  <si>
    <t>17</t>
  </si>
  <si>
    <t>证书</t>
  </si>
  <si>
    <t>申请 SSL/TLS 通配符证书</t>
  </si>
  <si>
    <t>数字证书管理服务</t>
  </si>
  <si>
    <t>申请 *.example-ph.com；要求 TLS 1.2 + 1.3</t>
  </si>
  <si>
    <t>签发 1–24h（等待）</t>
  </si>
  <si>
    <t>私钥托管至 KMS，开启自动续期与 30 天到期告警</t>
  </si>
  <si>
    <t>18</t>
  </si>
  <si>
    <t>证书部署到 ALB / WAF / DCDN</t>
  </si>
  <si>
    <t>控制台</t>
  </si>
  <si>
    <t>分别部署至马尼拉 ALB、新加坡 ALB、WAF、DCDN 域名</t>
  </si>
  <si>
    <t>D1 上午</t>
  </si>
  <si>
    <t>见落地计划 #5</t>
  </si>
  <si>
    <t>到期前 30 天自动续期并回归验证</t>
  </si>
  <si>
    <t>19</t>
  </si>
  <si>
    <t>通知</t>
  </si>
  <si>
    <t>配置告警通道与联系人</t>
  </si>
  <si>
    <t>云监控 / ARMS</t>
  </si>
  <si>
    <t>钉钉或企业微信机器人 + 短信 + 电话；P1 走电话并建立值班表</t>
  </si>
  <si>
    <t>D3 下午</t>
  </si>
  <si>
    <t>见落地计划 #27</t>
  </si>
  <si>
    <t>告警联系人须包含 2 名执行人与项目负责人</t>
  </si>
  <si>
    <t>★ 门禁项共 11 项，全部为 T-3 前置（等待型）。G0 门禁未通过则 D1 不得启动，5 天工期不可达。</t>
  </si>
  <si>
    <t>菲律宾主站点资源清单 · ap-southeast-6（马尼拉）</t>
  </si>
  <si>
    <t>层</t>
  </si>
  <si>
    <t>资源 / 产品</t>
  </si>
  <si>
    <t>规格与版本</t>
  </si>
  <si>
    <t>数量</t>
  </si>
  <si>
    <t>命名规范</t>
  </si>
  <si>
    <t>地域 / 可用区</t>
  </si>
  <si>
    <t>关键配置</t>
  </si>
  <si>
    <t>申请方式</t>
  </si>
  <si>
    <t>落地日</t>
  </si>
  <si>
    <t>负责</t>
  </si>
  <si>
    <t>网络</t>
  </si>
  <si>
    <t>VPC</t>
  </si>
  <si>
    <t>10.0.0.0/16</t>
  </si>
  <si>
    <t>vpc-newapi-mnl-prod</t>
  </si>
  <si>
    <t>ap-southeast-6</t>
  </si>
  <si>
    <t>单 VPC；开启 DNS 主机名解析；VPC 流日志投递 SLS</t>
  </si>
  <si>
    <t>控制台/IaC</t>
  </si>
  <si>
    <t>D1</t>
  </si>
  <si>
    <t>人员A</t>
  </si>
  <si>
    <t>与新加坡网段不重叠</t>
  </si>
  <si>
    <t>vSwitch（公共）</t>
  </si>
  <si>
    <t>2 × /24</t>
  </si>
  <si>
    <t>vsw-mnl-pub-a / vsw-mnl-pub-b</t>
  </si>
  <si>
    <t>可用区 A / B</t>
  </si>
  <si>
    <t>ALB 与 NAT 网关使用</t>
  </si>
  <si>
    <t>多可用区是高可用前提</t>
  </si>
  <si>
    <t>vSwitch（私有）</t>
  </si>
  <si>
    <t>4 × /20</t>
  </si>
  <si>
    <t>vsw-mnl-app-a/b、vsw-mnl-data-a/b</t>
  </si>
  <si>
    <t>跨 2 个可用区</t>
  </si>
  <si>
    <t>Pod 使用 app 网段，RDS 使用 data 网段</t>
  </si>
  <si>
    <t>Pod 与数据库分网段便于隔离</t>
  </si>
  <si>
    <t>NAT 网关</t>
  </si>
  <si>
    <t>多可用区</t>
  </si>
  <si>
    <t>nat-mnl-prod</t>
  </si>
  <si>
    <t>绑定固定 EIP 池；仅私有子网可出网</t>
  </si>
  <si>
    <t>供应商 IP 白名单依赖固定 EIP</t>
  </si>
  <si>
    <t>EIP（上游出口白名单池）</t>
  </si>
  <si>
    <t>≥ 4 个</t>
  </si>
  <si>
    <t>eip-mnl-upstream-01..04</t>
  </si>
  <si>
    <t>绑定 NAT 网关；用于供应商白名单与 GA 回源</t>
  </si>
  <si>
    <t>同一池也是备 region 访问 RDS 的白名单来源</t>
  </si>
  <si>
    <t>接入</t>
  </si>
  <si>
    <t>ALB</t>
  </si>
  <si>
    <t>标准版 II</t>
  </si>
  <si>
    <t>alb-newapi-mnl</t>
  </si>
  <si>
    <t>listeners 80（301）/ 443；idleTimeout=60s；requestTimeout=180s；TLS 1.2+1.3</t>
  </si>
  <si>
    <t>2,17</t>
  </si>
  <si>
    <t>D3</t>
  </si>
  <si>
    <t>SSE 靠网关 ping（15–20s）保活</t>
  </si>
  <si>
    <t>WAF 3.0</t>
  </si>
  <si>
    <t>企业版</t>
  </si>
  <si>
    <t>waf-newapi-mnl</t>
  </si>
  <si>
    <t>马尼拉</t>
  </si>
  <si>
    <t>接入 api.example-ph.com；CC 阈值对齐 GLOBAL_API_RATE_LIMIT；放行支付回调</t>
  </si>
  <si>
    <t>抗 L7</t>
  </si>
  <si>
    <t>云解析 DNS</t>
  </si>
  <si>
    <t>旗舰版</t>
  </si>
  <si>
    <t>全球</t>
  </si>
  <si>
    <t>承载主域名与子域名解析</t>
  </si>
  <si>
    <t>15(前置)</t>
  </si>
  <si>
    <t>与 GTM 配合完成按延迟解析</t>
  </si>
  <si>
    <t>全局流量管理 GTM</t>
  </si>
  <si>
    <t>gtm-newapi-ph</t>
  </si>
  <si>
    <t>主地址池 = 马尼拉 ALB；备地址池 = 新加坡 ALB；探测 /api/status 每 15s</t>
  </si>
  <si>
    <t>6,17(前置)</t>
  </si>
  <si>
    <t>故障切换目标 ≤ 60s</t>
  </si>
  <si>
    <t>DCDN</t>
  </si>
  <si>
    <t>按量付费</t>
  </si>
  <si>
    <t>dcdn-newapi-ph</t>
  </si>
  <si>
    <t>静态资源加速；index.html no-cache；带指纹 chunk 缓存 7 天</t>
  </si>
  <si>
    <t>17(前置)</t>
  </si>
  <si>
    <t>D2</t>
  </si>
  <si>
    <t>可按裁剪预案延后</t>
  </si>
  <si>
    <t>计算</t>
  </si>
  <si>
    <t>ACK Pro 托管版</t>
  </si>
  <si>
    <t>控制面 SLA 99.95%</t>
  </si>
  <si>
    <t>ack-newapi-mnl</t>
  </si>
  <si>
    <t>Kubernetes 1.31+；CNI Terway；开启 RRSA</t>
  </si>
  <si>
    <t>7(前置)</t>
  </si>
  <si>
    <t>需 ACK 配额已批复</t>
  </si>
  <si>
    <t>ECS 节点池</t>
  </si>
  <si>
    <t>g8i.2xlarge（8C32G）</t>
  </si>
  <si>
    <t>≥ 4</t>
  </si>
  <si>
    <t>ecs-mnl-node-01..04</t>
  </si>
  <si>
    <t>系统盘 100G ESSD PL1 + 数据盘 200G ESSD；nofile=200000</t>
  </si>
  <si>
    <t>HPA min 4 / max 16；单 AZ 故障仍有 2 副本</t>
  </si>
  <si>
    <t>ACR 企业版（马尼拉）</t>
  </si>
  <si>
    <t>企业版实例</t>
  </si>
  <si>
    <t>acr-newapi-mnl</t>
  </si>
  <si>
    <t>VPC 域名供集群拉取；开启镜像扫描与签名</t>
  </si>
  <si>
    <t>12(前置)</t>
  </si>
  <si>
    <t>人员B</t>
  </si>
  <si>
    <t>镜像 tag = git sha</t>
  </si>
  <si>
    <t>数据</t>
  </si>
  <si>
    <t>RDS PostgreSQL 高可用版</t>
  </si>
  <si>
    <t>pg 15，16C64G</t>
  </si>
  <si>
    <t>rds-mnl-newapi</t>
  </si>
  <si>
    <t>主 A 备 B（跨可用区）</t>
  </si>
  <si>
    <t>PITR 7 天；每日全量 + WAL 归档 OSS；开启公网地址但仅放行新加坡 NAT EIP</t>
  </si>
  <si>
    <t>9(前置)</t>
  </si>
  <si>
    <t>菲律宾唯一主库</t>
  </si>
  <si>
    <t>RDS 账号与数据库</t>
  </si>
  <si>
    <t>newapi / newapi_sg</t>
  </si>
  <si>
    <t>newapi：应用主账号；newapi_sg：备 region 接管账号（最小权限）</t>
  </si>
  <si>
    <t>禁止与备 region 共用超级账号</t>
  </si>
  <si>
    <t>RDS 只读实例（可选）</t>
  </si>
  <si>
    <t>pg 15，同规格</t>
  </si>
  <si>
    <t>rds-mnl-newapi-ro</t>
  </si>
  <si>
    <t>报表与导出类查询分流</t>
  </si>
  <si>
    <t>非必需，工期/成本紧张时按裁剪预案取消</t>
  </si>
  <si>
    <t>缓存</t>
  </si>
  <si>
    <t>Tair（Redis 兼容）</t>
  </si>
  <si>
    <t>主备版 4 GB</t>
  </si>
  <si>
    <t>tair-mnl-newapi</t>
  </si>
  <si>
    <t>密码 + 内网 ACL；maxmemory-policy allkeys-lru</t>
  </si>
  <si>
    <t>4(前置)</t>
  </si>
  <si>
    <t>生产建议升级集群版</t>
  </si>
  <si>
    <t>日志</t>
  </si>
  <si>
    <t>云数据库 ClickHouse</t>
  </si>
  <si>
    <t>社区版 24.8，2 节点</t>
  </si>
  <si>
    <t>ck-mnl-newapi</t>
  </si>
  <si>
    <t>仅承载 LOG_SQL_DSN；TTL 90 天</t>
  </si>
  <si>
    <t>写日志失败必须降级</t>
  </si>
  <si>
    <t>存储</t>
  </si>
  <si>
    <t>OSS Bucket</t>
  </si>
  <si>
    <t>标准 + 低频生命周期</t>
  </si>
  <si>
    <t>oss-newapi-mnl</t>
  </si>
  <si>
    <t>同城冗余 ZRS；版本控制；90 天转归档；防盗链 + 签名 URL</t>
  </si>
  <si>
    <t>同时承载 RDS 备份归档</t>
  </si>
  <si>
    <t>20</t>
  </si>
  <si>
    <t>安全</t>
  </si>
  <si>
    <t>KMS 凭据管家</t>
  </si>
  <si>
    <t>软件密钥</t>
  </si>
  <si>
    <t>kms-newapi-mnl</t>
  </si>
  <si>
    <t>托管 SQL_DSN、REDIS_CONN_STRING、SESSION_SECRET、支付渠道密钥</t>
  </si>
  <si>
    <t>10(前置)</t>
  </si>
  <si>
    <t>经 RRSA + ExternalSecret 注入，密钥不落 Git</t>
  </si>
  <si>
    <t>21</t>
  </si>
  <si>
    <t>安全组与网络 ACL</t>
  </si>
  <si>
    <t>sg-mnl-alb / sg-mnl-app / sg-mnl-db</t>
  </si>
  <si>
    <t>端口最小化，规则详见「网络与安全规划」</t>
  </si>
  <si>
    <t>2,3,12</t>
  </si>
  <si>
    <t>app 仅允许 ALB 访问 3000</t>
  </si>
  <si>
    <t>22</t>
  </si>
  <si>
    <t>观测</t>
  </si>
  <si>
    <t>SLS Project / LogStore</t>
  </si>
  <si>
    <t>按量</t>
  </si>
  <si>
    <t>sls-newapi-mnl</t>
  </si>
  <si>
    <t>采集 /app/logs 与 stdout；sys 30 天 / audit 180 天</t>
  </si>
  <si>
    <t>D4</t>
  </si>
  <si>
    <t>Logtail DaemonSet 采集</t>
  </si>
  <si>
    <t>23</t>
  </si>
  <si>
    <t>ARMS Prometheus + 应用监控</t>
  </si>
  <si>
    <t>arms-newapi-mnl</t>
  </si>
  <si>
    <t>ServiceMonitor 抓 /metrics（需补建）；OpenTelemetry SDK（需补建）</t>
  </si>
  <si>
    <t>代码补建项须在 T-3 完成，否则临时用 /api/status 拨测</t>
  </si>
  <si>
    <t>24</t>
  </si>
  <si>
    <t>云监控站点监控（拨测）</t>
  </si>
  <si>
    <t>马尼拉 + 新加坡 + 东京 + 香港</t>
  </si>
  <si>
    <t>探测 GET /api/status，间隔 1 分钟，断言 success:true 与版本匹配</t>
  </si>
  <si>
    <t>11(前置)</t>
  </si>
  <si>
    <t>真实用户视角可用性</t>
  </si>
  <si>
    <t>25</t>
  </si>
  <si>
    <t>操作审计 ActionTrail</t>
  </si>
  <si>
    <t>默认</t>
  </si>
  <si>
    <t>记录全部云 API 变更，保留 180 天</t>
  </si>
  <si>
    <t>5(前置)</t>
  </si>
  <si>
    <t>合规与变更追溯</t>
  </si>
  <si>
    <t>26</t>
  </si>
  <si>
    <t>工作负载</t>
  </si>
  <si>
    <t>master Deployment</t>
  </si>
  <si>
    <t>new-api-master</t>
  </si>
  <si>
    <t>NODE_TYPE=master；replicas=1；Recreate；独立 PVC（RWO）；不接 ALB 流量</t>
  </si>
  <si>
    <t>11,14</t>
  </si>
  <si>
    <t>GitOps</t>
  </si>
  <si>
    <t>唯一执行 AutoMigrate 与 master-only 任务的节点</t>
  </si>
  <si>
    <t>27</t>
  </si>
  <si>
    <t>stable Deployment</t>
  </si>
  <si>
    <t>new-api-stable</t>
  </si>
  <si>
    <t>replicas=4；maxUnavailable=0；PDB minAvailable=3；HPA 4–16；preStop sleep 15s</t>
  </si>
  <si>
    <t>滚动发布零停机是 99.95% 前提</t>
  </si>
  <si>
    <t>28</t>
  </si>
  <si>
    <t>canary Deployment</t>
  </si>
  <si>
    <t>new-api-canary</t>
  </si>
  <si>
    <t>replicas=1；独立 Service 与 Ingress；canary-weight 5→20→50→100</t>
  </si>
  <si>
    <t>灰度失败可秒级归零</t>
  </si>
  <si>
    <t>29</t>
  </si>
  <si>
    <t>Namespace / ConfigMap / Secret</t>
  </si>
  <si>
    <t>namespace: new-api</t>
  </si>
  <si>
    <t>见 impl_deploy.md 7.4.1；密钥由 KMS + ExternalSecret 注入</t>
  </si>
  <si>
    <t>20,11</t>
  </si>
  <si>
    <t>SESSION_SECRET 必须全区域一致</t>
  </si>
  <si>
    <t>备 region 资源清单 · ap-southeast-1（新加坡，仅承载菲律宾备用负载）</t>
  </si>
  <si>
    <t>10.1.0.0/16</t>
  </si>
  <si>
    <t>vpc-newapi-sg-prod</t>
  </si>
  <si>
    <t>ap-southeast-1</t>
  </si>
  <si>
    <t>独立 VPC；不部署任何数据库实例</t>
  </si>
  <si>
    <t>网段与马尼拉不重叠</t>
  </si>
  <si>
    <t>vSwitch</t>
  </si>
  <si>
    <t>vsw-sg-pub-a/b、vsw-sg-app-a/b</t>
  </si>
  <si>
    <t>公共子网承载 ALB 与 NAT；私有子网承载 Pod</t>
  </si>
  <si>
    <t>至少 2 个可用区</t>
  </si>
  <si>
    <t>NAT 网关 + EIP 池</t>
  </si>
  <si>
    <t>≥ 4 个 EIP</t>
  </si>
  <si>
    <t>nat-sg-prod / eip-sg-upstream-01..04</t>
  </si>
  <si>
    <t>固定 EIP 两用：① 上游出口白名单；② 马尼拉 RDS 公网白名单来源</t>
  </si>
  <si>
    <t>关键：这批 EIP 必须加入马尼拉 RDS 白名单，禁止 0.0.0.0/0</t>
  </si>
  <si>
    <t>alb-newapi-sg</t>
  </si>
  <si>
    <t>与马尼拉同配置：443 + idleTimeout 60s + requestTimeout 180s</t>
  </si>
  <si>
    <t>3,17(前置)</t>
  </si>
  <si>
    <t>GTM 接管时直接解析到该 ALB</t>
  </si>
  <si>
    <t>waf-newapi-sg</t>
  </si>
  <si>
    <t>新加坡</t>
  </si>
  <si>
    <t>接管时承接 api.example-ph.com 流量；规则与马尼拉保持一致</t>
  </si>
  <si>
    <t>规则差异会导致切换后行为不一致</t>
  </si>
  <si>
    <t>ACR 企业版（新加坡）</t>
  </si>
  <si>
    <t>acr-newapi-sg</t>
  </si>
  <si>
    <t>提供新加坡 VPC 域名，供备 region 节点拉取同一镜像</t>
  </si>
  <si>
    <t>避免跨区拉镜像</t>
  </si>
  <si>
    <t>ack-newapi-sg</t>
  </si>
  <si>
    <t>与马尼拉同构；后续泰国备可复用该集群（独立 Deployment）</t>
  </si>
  <si>
    <t>不同站点备负载必须互相隔离</t>
  </si>
  <si>
    <t>≥ 2</t>
  </si>
  <si>
    <t>ecs-sg-node-01..02</t>
  </si>
  <si>
    <t>PH 备 2 副本；冷备形态可置 0 并预留扩容预案</t>
  </si>
  <si>
    <t>冷备会牺牲 RTO（秒级 → 分钟级）</t>
  </si>
  <si>
    <t>RDS PostgreSQL</t>
  </si>
  <si>
    <t>0</t>
  </si>
  <si>
    <t>【不部署】备 region 直接使用马尼拉 RDS 的公网地址</t>
  </si>
  <si>
    <t>红线：禁止本地库、只读副本、DTS 双向链路</t>
  </si>
  <si>
    <t>RDS 公网白名单</t>
  </si>
  <si>
    <t>马尼拉 RDS</t>
  </si>
  <si>
    <t>仅加入新加坡 NAT EIP；仅开放 5432；应用侧 sslmode=verify-full + RDS CA 校验</t>
  </si>
  <si>
    <t>3,14(马尼拉)</t>
  </si>
  <si>
    <t>连接串不得出现 sslmode=disable / require</t>
  </si>
  <si>
    <t>tair-sg-newapi</t>
  </si>
  <si>
    <t>备 region 本地缓存与限流；不跨区访问马尼拉 Tair</t>
  </si>
  <si>
    <t>跨区缓存会放大延迟与故障面</t>
  </si>
  <si>
    <t>ck-sg-newapi</t>
  </si>
  <si>
    <t>备 region 本地日志库，避免跨区写日志</t>
  </si>
  <si>
    <t>工期紧张时按裁剪预案暂用主站点</t>
  </si>
  <si>
    <t>oss-newapi-sg</t>
  </si>
  <si>
    <t>版本控制 + 90 天转归档</t>
  </si>
  <si>
    <t>DCDN 回源可指向本 bucket</t>
  </si>
  <si>
    <t>安全组</t>
  </si>
  <si>
    <t>sg-sg-alb / sg-sg-app</t>
  </si>
  <si>
    <t>alb 入向 443/80；app 入向 3000 仅来自 alb-sg；app 出向允许访问马尼拉 RDS 公网 5432</t>
  </si>
  <si>
    <t>2,10</t>
  </si>
  <si>
    <t>出向按目的地址精确放行</t>
  </si>
  <si>
    <t>PH 备 Deployment</t>
  </si>
  <si>
    <t>new-api-ph-standby</t>
  </si>
  <si>
    <t>replicas=2；NODE_TYPE=slave；track=standby；site=ph；SQL_MAX_OPEN_CONNS=150</t>
  </si>
  <si>
    <t>7,11</t>
  </si>
  <si>
    <t>必须固定 slave，避免与马尼拉 master 并发迁移同一 schema</t>
  </si>
  <si>
    <t>备 region Secret</t>
  </si>
  <si>
    <t>new-api-secret-sg-ph</t>
  </si>
  <si>
    <t>SQL_DSN 指向马尼拉 RDS 公网地址；SESSION_SECRET 与主站点完全一致</t>
  </si>
  <si>
    <t>20(马尼拉)</t>
  </si>
  <si>
    <t>同 SESSION_SECRET 保证接管瞬间会话与令牌不失效</t>
  </si>
  <si>
    <t>SLS / ARMS 接入</t>
  </si>
  <si>
    <t>sls-newapi-sg / arms-newapi-sg</t>
  </si>
  <si>
    <t>与应用同构采集；备 region 日志单独 LogStore</t>
  </si>
  <si>
    <t>告警通道复用主站点值班表</t>
  </si>
  <si>
    <t>备 region 链路拨测</t>
  </si>
  <si>
    <t>新加坡 → 马尼拉</t>
  </si>
  <si>
    <t>对马尼拉 RDS 公网地址做 TCP 拨测：RTT、连接失败率、连接数占比</t>
  </si>
  <si>
    <t>链路不健康时必须阻止 GTM 接管到备 region</t>
  </si>
  <si>
    <t>重申红线：新加坡【不部署 RDS PostgreSQL】。备 region 仅通过公网 TLS（verify-full + IP 白名单）读写马尼拉主库，仅故障接管时生效，不做双写、不建 DTS 链路。</t>
  </si>
  <si>
    <t>网络、安全组、EIP 与凭据规划</t>
  </si>
  <si>
    <t>站点</t>
  </si>
  <si>
    <t>资源</t>
  </si>
  <si>
    <t>规划值</t>
  </si>
  <si>
    <t>用途 / 说明</t>
  </si>
  <si>
    <t>VPC CIDR</t>
  </si>
  <si>
    <t>菲律宾主站点网络</t>
  </si>
  <si>
    <t>与新加坡不重叠</t>
  </si>
  <si>
    <t>可用区 A</t>
  </si>
  <si>
    <t>vsw-mnl-pub-a 10.0.0.0/24</t>
  </si>
  <si>
    <t>ALB 公共子网</t>
  </si>
  <si>
    <t>可用区 B</t>
  </si>
  <si>
    <t>vsw-mnl-pub-b 10.0.1.0/24</t>
  </si>
  <si>
    <t>vsw-mnl-app-a 10.0.16.0/20</t>
  </si>
  <si>
    <t>ACK Pod 私有子网</t>
  </si>
  <si>
    <t>vsw-mnl-app-b 10.0.32.0/20</t>
  </si>
  <si>
    <t>vsw-mnl-data-a 10.0.48.0/20</t>
  </si>
  <si>
    <t>RDS / Tair / ClickHouse</t>
  </si>
  <si>
    <t>数据库不暴露公网子网</t>
  </si>
  <si>
    <t>vsw-mnl-data-b 10.0.64.0/20</t>
  </si>
  <si>
    <t>RDS 备实例</t>
  </si>
  <si>
    <t>主备跨可用区</t>
  </si>
  <si>
    <t>备 region 网络（不含数据库）</t>
  </si>
  <si>
    <t>与马尼拉不重叠</t>
  </si>
  <si>
    <t>vsw-sg-pub-a 10.1.0.0/24</t>
  </si>
  <si>
    <t>ALB 与 NAT</t>
  </si>
  <si>
    <t>vsw-sg-app-a 10.1.16.0/20</t>
  </si>
  <si>
    <t>PH 备 Pod</t>
  </si>
  <si>
    <t>vsw-sg-app-b 10.1.32.0/20</t>
  </si>
  <si>
    <t>EIP 规划</t>
  </si>
  <si>
    <t>用途</t>
  </si>
  <si>
    <t>绑定对象</t>
  </si>
  <si>
    <t>说明</t>
  </si>
  <si>
    <t>上游出口白名单池</t>
  </si>
  <si>
    <t>提交给 OpenAI / Anthropic / Google 等供应商做 IP 白名单</t>
  </si>
  <si>
    <t>同一池同时用于 GA 回源</t>
  </si>
  <si>
    <t>ALB 公网地址</t>
  </si>
  <si>
    <t>由 ALB 自动分配，用于 GTM 地址池与 DNS 解析</t>
  </si>
  <si>
    <t>上游出口 + RDS 白名单池</t>
  </si>
  <si>
    <t>既用于供应商白名单，也必须加入马尼拉 RDS 公网白名单</t>
  </si>
  <si>
    <t>仅放行该 EIP，禁止 0.0.0.0/0</t>
  </si>
  <si>
    <t>安全组规则（最小开放原则）</t>
  </si>
  <si>
    <t>方向</t>
  </si>
  <si>
    <t>协议 / 端口</t>
  </si>
  <si>
    <t>源 / 目的</t>
  </si>
  <si>
    <t>sg-mnl-alb</t>
  </si>
  <si>
    <t>入</t>
  </si>
  <si>
    <t>TCP 443 / 80</t>
  </si>
  <si>
    <t>0.0.0.0/0</t>
  </si>
  <si>
    <t>终端用户与 WAF 回源；80 仅用于 301 跳转 HTTPS</t>
  </si>
  <si>
    <t>sg-mnl-app</t>
  </si>
  <si>
    <t>TCP 3000</t>
  </si>
  <si>
    <t>仅 ALB 可访问 Pod，禁止内网其他来源</t>
  </si>
  <si>
    <t>出</t>
  </si>
  <si>
    <t>TCP 5432 / 6379 / 9000</t>
  </si>
  <si>
    <t>sg-mnl-db</t>
  </si>
  <si>
    <t>访问 RDS、Tair、ClickHouse</t>
  </si>
  <si>
    <t>TCP 443</t>
  </si>
  <si>
    <t>0.0.0.0/0 经 NAT</t>
  </si>
  <si>
    <t>调用上游 AI 供应商</t>
  </si>
  <si>
    <t>TCP 5432</t>
  </si>
  <si>
    <t>sg-mnl-app + 新加坡 NAT EIP</t>
  </si>
  <si>
    <t>主站点走内网；备 region 走公网且仅白名单 EIP</t>
  </si>
  <si>
    <t>sg-sg-alb</t>
  </si>
  <si>
    <t>GTM 接管时的备 region 入口</t>
  </si>
  <si>
    <t>sg-sg-app</t>
  </si>
  <si>
    <t>与主站点一致</t>
  </si>
  <si>
    <t>马尼拉 RDS 公网地址</t>
  </si>
  <si>
    <t>仅接管期写入；强制 TLS verify-full</t>
  </si>
  <si>
    <t>凭据与密钥（KMS 托管，禁止落库落 Git）</t>
  </si>
  <si>
    <t>凭据</t>
  </si>
  <si>
    <t>载体</t>
  </si>
  <si>
    <t>使用方</t>
  </si>
  <si>
    <t>轮换周期</t>
  </si>
  <si>
    <t>SQL_DSN</t>
  </si>
  <si>
    <t>马尼拉 / 新加坡备应用</t>
  </si>
  <si>
    <t>90 天</t>
  </si>
  <si>
    <t>含数据库账号密码；备 region 使用公网地址 + verify-full</t>
  </si>
  <si>
    <t>轮换需两站点同步</t>
  </si>
  <si>
    <t>REDIS_CONN_STRING</t>
  </si>
  <si>
    <t>Tair 连接串</t>
  </si>
  <si>
    <t>各站点使用各自实例</t>
  </si>
  <si>
    <t>SESSION_SECRET</t>
  </si>
  <si>
    <t>全部站点</t>
  </si>
  <si>
    <t>180 天</t>
  </si>
  <si>
    <t>必须全区域全实例一致</t>
  </si>
  <si>
    <t>不一致会导致切换后会话全部失效</t>
  </si>
  <si>
    <t>RDS CA 证书</t>
  </si>
  <si>
    <t>镜像只读路径 /etc/ssl/rds-ca.pem</t>
  </si>
  <si>
    <t>新加坡备 region</t>
  </si>
  <si>
    <t>随证书更新</t>
  </si>
  <si>
    <t>用于 sslmode=verify-full 校验</t>
  </si>
  <si>
    <t>禁止使用 require/disable</t>
  </si>
  <si>
    <t>支付渠道密钥</t>
  </si>
  <si>
    <t>马尼拉应用</t>
  </si>
  <si>
    <t>按渠道要求</t>
  </si>
  <si>
    <t>支付回调与退款</t>
  </si>
  <si>
    <t>回调路径需在 WAF 放行</t>
  </si>
  <si>
    <t>落地计划 · 2 人全职 / 5 天 / 10 个时段（日期由「说明与总览」D1 日期自动推算）</t>
  </si>
  <si>
    <t>天</t>
  </si>
  <si>
    <t>任务 / 交付物</t>
  </si>
  <si>
    <t>工期(人时)</t>
  </si>
  <si>
    <t>起始时段</t>
  </si>
  <si>
    <t>完成时段</t>
  </si>
  <si>
    <t>日期</t>
  </si>
  <si>
    <t>D1上午</t>
  </si>
  <si>
    <t>D1下午</t>
  </si>
  <si>
    <t>D2上午</t>
  </si>
  <si>
    <t>D2下午</t>
  </si>
  <si>
    <t>D3上午</t>
  </si>
  <si>
    <t>D3下午</t>
  </si>
  <si>
    <t>D4上午</t>
  </si>
  <si>
    <t>D4下午</t>
  </si>
  <si>
    <t>D5上午</t>
  </si>
  <si>
    <t>D5下午</t>
  </si>
  <si>
    <t>验收标准</t>
  </si>
  <si>
    <t>状态</t>
  </si>
  <si>
    <t>每时段投入(人时)</t>
  </si>
  <si>
    <t>账号/实名/配额/支付最终确认与补件（门禁 G0 收口）</t>
  </si>
  <si>
    <t>G1–G8</t>
  </si>
  <si>
    <t>■■</t>
  </si>
  <si>
    <t>G0 门禁全部通过，无遗留待批复项</t>
  </si>
  <si>
    <t>未开始</t>
  </si>
  <si>
    <t>域名解析记录与 NS 生效复核</t>
  </si>
  <si>
    <t>G4,G5</t>
  </si>
  <si>
    <t>dig 权威解析生效，解析记录无冲突</t>
  </si>
  <si>
    <t>SSL 证书部署到 ALB / WAF / DCDN（配置就绪）</t>
  </si>
  <si>
    <t>G6</t>
  </si>
  <si>
    <t>证书链校验通过，TLS 1.2/1.3 可用</t>
  </si>
  <si>
    <t>创建马尼拉 RDS PostgreSQL 高可用版（主备跨 AZ）+ 参数组</t>
  </si>
  <si>
    <t>G2,G3</t>
  </si>
  <si>
    <t>实例可连、主备跨可用区、参数组生效</t>
  </si>
  <si>
    <t>创建马尼拉 VPC 与 4 组 vSwitch（跨 2 AZ）</t>
  </si>
  <si>
    <t>G1,G2</t>
  </si>
  <si>
    <t>网段与「网络与安全规划」完全一致</t>
  </si>
  <si>
    <t>创建马尼拉 NAT 网关与上游出口 EIP 池</t>
  </si>
  <si>
    <t>EIP 固定且可正常出网</t>
  </si>
  <si>
    <t>创建 Tair 主备版实例</t>
  </si>
  <si>
    <t>连接与 ACL 认证验证通过</t>
  </si>
  <si>
    <t>创建 OSS Bucket（ZRS + 版本控制 + 生命周期）</t>
  </si>
  <si>
    <t>G7</t>
  </si>
  <si>
    <t>策略与防盗链规则生效</t>
  </si>
  <si>
    <t>创建 ClickHouse 2 节点日志库（TTL 90 天）</t>
  </si>
  <si>
    <t>写入成功且 TTL 生效</t>
  </si>
  <si>
    <t>创建马尼拉 ACK Pro 集群（K8s 1.31 + Terway + RRSA）</t>
  </si>
  <si>
    <t>5,6</t>
  </si>
  <si>
    <t>集群 Running，RRSA 可获取临时凭据</t>
  </si>
  <si>
    <t>创建 ECS 节点池 4×g8i.2xlarge（跨 2 AZ、ESSD、nofile 调优）</t>
  </si>
  <si>
    <t>节点 Ready 且跨 2 个可用区分布</t>
  </si>
  <si>
    <t>创建新加坡 VPC + vSwitch + NAT 网关 + EIP 池</t>
  </si>
  <si>
    <t>新加坡 EIP 固定可出网</t>
  </si>
  <si>
    <t>创建 RDS 应用账号 newapi / newapi_sg + 权限最小化</t>
  </si>
  <si>
    <t>两个账号权限边界验证通过</t>
  </si>
  <si>
    <t>配置 RDS 备份策略（PITR 7 天 + 全量/WAL 归档 OSS）</t>
  </si>
  <si>
    <t>4,8</t>
  </si>
  <si>
    <t>备份任务成功且有可恢复时间点</t>
  </si>
  <si>
    <t>开启 RDS 公网地址并限制白名单（仅新加坡 NAT EIP）</t>
  </si>
  <si>
    <t>4,12</t>
  </si>
  <si>
    <t>仅指定 EIP 可连通，强制 SSL</t>
  </si>
  <si>
    <t>创建双地域 ACR 企业版并打通 CI 镜像推送</t>
  </si>
  <si>
    <t>G2</t>
  </si>
  <si>
    <t>两站点均可从各自 VPC 域名拉取镜像</t>
  </si>
  <si>
    <t>部署 Namespace / ConfigMap / Secret（KMS + RRSA + ExternalSecret）</t>
  </si>
  <si>
    <t>密钥不落 Git，注入后应用可正常启动</t>
  </si>
  <si>
    <t>部署 master Deployment 并跑通 AutoMigrate（连续两次验幂等）</t>
  </si>
  <si>
    <t>11,17</t>
  </si>
  <si>
    <t>迁移两次结果幂等，无重复 ALTER</t>
  </si>
  <si>
    <t>创建马尼拉 ALB + AlbConfig + 证书 + 健康检查</t>
  </si>
  <si>
    <t>5,6,3</t>
  </si>
  <si>
    <t>ALB 可访问 /api/status，超时参数符合 7.4.3</t>
  </si>
  <si>
    <t>WAF 3.0 接入 + CC 策略 + 支付回调放行</t>
  </si>
  <si>
    <t>攻击场景拦截、回调路径放行验证通过</t>
  </si>
  <si>
    <t>GTM 实例 + 地址池 + 健康探测（先只挂马尼拉）</t>
  </si>
  <si>
    <t>探测正常且手工切换演练通过</t>
  </si>
  <si>
    <t>落地全部安全组与数据库白名单规则并逐条核对</t>
  </si>
  <si>
    <t>6,11,19</t>
  </si>
  <si>
    <t>端口最小化核对通过，无全放通规则</t>
  </si>
  <si>
    <t>部署 stable Deployment（4 副本）+ PDB/HPA + Pod 反亲和</t>
  </si>
  <si>
    <t>Pod 跨 AZ 分布、maxUnavailable=0 生效</t>
  </si>
  <si>
    <t>创建新加坡 ACK 集群 + 节点池（2 节点）</t>
  </si>
  <si>
    <t>节点 Ready 且可拉取镜像</t>
  </si>
  <si>
    <t>创建新加坡 ALB + Service / Ingress（PH 备）</t>
  </si>
  <si>
    <t>19,24</t>
  </si>
  <si>
    <t>备 region 入口可用且证书生效</t>
  </si>
  <si>
    <t>接入 SLS / ARMS / 云监控站点拨测（马尼拉 + 新加坡）</t>
  </si>
  <si>
    <t>指标、日志、拨测数据均可见</t>
  </si>
  <si>
    <t>部署 canary Deployment + 独立 Service/Ingress（权重 5）</t>
  </si>
  <si>
    <t>canary-weight 5 生效且可归零</t>
  </si>
  <si>
    <t>部署 PH 备 Deployment + Secret（NODE_TYPE=slave、公网 verify-full DSN）</t>
  </si>
  <si>
    <t>24,20(马尼拉)</t>
  </si>
  <si>
    <t>Pod Ready 且 NODE_TYPE=slave</t>
  </si>
  <si>
    <t>部署备 region 本地 Tair / ClickHouse + 日志采集</t>
  </si>
  <si>
    <t>本地缓存与日志写入正常</t>
  </si>
  <si>
    <t>打通备 region → 马尼拉 RDS 公网读写并实测 RTT</t>
  </si>
  <si>
    <t>28,15</t>
  </si>
  <si>
    <t>读写成功，公网 RTT ≤ 70ms</t>
  </si>
  <si>
    <t>D5</t>
  </si>
  <si>
    <t>灰度发布演练（5→20→50→100 与回滚）</t>
  </si>
  <si>
    <t>23,27</t>
  </si>
  <si>
    <t>回滚从触发到权重归零 ≤ 60s</t>
  </si>
  <si>
    <t>SLO / 错误预算看板 + 告警规则与值班通道（P1 走电话）</t>
  </si>
  <si>
    <t>看板数据正确，告警可触发并升级</t>
  </si>
  <si>
    <t>容量与压测验收（并发 SSE 1500 / 管理面 800 QPS）</t>
  </si>
  <si>
    <t>达到单实例基线，劣化 ≤ 10%</t>
  </si>
  <si>
    <t>上线检查表、发布窗口冻结与正式上线</t>
  </si>
  <si>
    <t>31,36,37,39</t>
  </si>
  <si>
    <t>上线检查表全部通过；上线后 1 小时值守观察无 P1/P2 告警、成功率达标</t>
  </si>
  <si>
    <t>移交运维：Runbook / 应急预案 / 值班表 / 成本看板</t>
  </si>
  <si>
    <t>34</t>
  </si>
  <si>
    <t>文档与看板交付并完成交接评审</t>
  </si>
  <si>
    <t>备 region 接管演练（GTM 强制切换）</t>
  </si>
  <si>
    <t>30,21</t>
  </si>
  <si>
    <t>成功率不降、写入 P99 抬升 ≤ 80ms</t>
  </si>
  <si>
    <t>主库故障切换演练（RDS 主备 + 应用重连 + 额度对账）</t>
  </si>
  <si>
    <t>4,23</t>
  </si>
  <si>
    <t>切换 ≤ 60s，额度对账一致</t>
  </si>
  <si>
    <t>上线前安全核查（OWASP / 白名单 / 密钥 / 审计）</t>
  </si>
  <si>
    <t>无高危项，整改项闭环</t>
  </si>
  <si>
    <t>备 region 链路拨测与告警（不健康时阻止 GTM 接管）</t>
  </si>
  <si>
    <t>30</t>
  </si>
  <si>
    <t>链路异常可告警并阻断接管</t>
  </si>
  <si>
    <t>人力负荷校验（每时段单人上限 4 人时）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</si>
  <si>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</si>
  <si>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</si>
  <si>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</si>
  <si>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</si>
  <si>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</si>
  <si>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</si>
  <si>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</si>
  <si>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</si>
  <si>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</si>
  <si>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</si>
  <si>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负荷结论</t>
  </si>
  <si>
    <t>负荷均衡：每人每时段 ≤ 4 人时</t>
  </si>
  <si>
    <t>总投入(人时) / 总产能(人时，2 人 × 5 天 × 8 小时)</t>
  </si>
  <si>
    <t>工期可行：总投入未超 2 人 × 5 天产能</t>
  </si>
  <si>
    <t>T-3 前置门禁清单（等待型，不占用 5 天工期人力；G1–G8 全部完成才允许 D1 启动）</t>
  </si>
  <si>
    <t>编号</t>
  </si>
  <si>
    <t>前置事项</t>
  </si>
  <si>
    <t>发起时点</t>
  </si>
  <si>
    <t>最长等待</t>
  </si>
  <si>
    <t>门禁作用</t>
  </si>
  <si>
    <t>G1</t>
  </si>
  <si>
    <t>注册阿里云国际站账号并发起企业实名认证</t>
  </si>
  <si>
    <t>账号</t>
  </si>
  <si>
    <t>T-3（2026-09-22）</t>
  </si>
  <si>
    <t>1–2 工作日</t>
  </si>
  <si>
    <t>未实名无法购买 ECS/RDS，直接阻塞 D1</t>
  </si>
  <si>
    <t>提交资源配额工单（ECS vCPU / EIP / ALB / RDS / GTM）</t>
  </si>
  <si>
    <t>配额</t>
  </si>
  <si>
    <t>T-3</t>
  </si>
  <si>
    <t>2–3 工作日</t>
  </si>
  <si>
    <t>未批复无法创建节点池与出口 EIP</t>
  </si>
  <si>
    <t>G3</t>
  </si>
  <si>
    <t>开通后付费、绑定支付方式、设置预算告警</t>
  </si>
  <si>
    <t>当日</t>
  </si>
  <si>
    <t>未开通无法下单</t>
  </si>
  <si>
    <t>G4</t>
  </si>
  <si>
    <t>域名注册 + 实名认证 + NS 指向云解析</t>
  </si>
  <si>
    <t>24–48h 生效</t>
  </si>
  <si>
    <t>NS 未生效则 D1 接入层无法验证</t>
  </si>
  <si>
    <t>G5</t>
  </si>
  <si>
    <t>SSL 通配符证书申请</t>
  </si>
  <si>
    <t>1–24h</t>
  </si>
  <si>
    <t>无证书则 ALB/WAF HTTPS 不可用</t>
  </si>
  <si>
    <t>证书部署到 ALB / WAF / DCDN 的准备（域名与配置模板）</t>
  </si>
  <si>
    <t>D1 上午需直接验证</t>
  </si>
  <si>
    <t>开通全部云产品（网络/计算/数据/接入/观测）</t>
  </si>
  <si>
    <t>产品</t>
  </si>
  <si>
    <t>国际站需逐产品开通，未开通则无法下单</t>
  </si>
  <si>
    <t>G8</t>
  </si>
  <si>
    <t>代码侧补建项排期确认：/healthz、/readyz、/metrics、限流降级改造</t>
  </si>
  <si>
    <t>研发</t>
  </si>
  <si>
    <t>后端负责人</t>
  </si>
  <si>
    <t>未完成则探针与监控降级使用临时方案，且 Tair 故障会 fail-closed</t>
  </si>
  <si>
    <t>G9</t>
  </si>
  <si>
    <t>RAM 用户 / 资源组 / 成本标签 / MFA / ActionTrail 预建</t>
  </si>
  <si>
    <t>最小权限与审计是上线检查表必查项</t>
  </si>
  <si>
    <t>G0 门禁：以上 G1–G9 任一项未完成，D1 不得启动；5 天工期为「2 人全职 + 前置项全部就绪」的乐观口径，无缓冲日。</t>
  </si>
  <si>
    <t>里程碑门禁、验收证据、关键风险与工期裁剪预案</t>
  </si>
  <si>
    <t>里程碑</t>
  </si>
  <si>
    <t>偏移(日，D1=0)</t>
  </si>
  <si>
    <t>目标日期</t>
  </si>
  <si>
    <t>通过标准</t>
  </si>
  <si>
    <t>验收证据</t>
  </si>
  <si>
    <t>G0 前置门禁通过</t>
  </si>
  <si>
    <t>T-3 前置清单 G1–G9 全部完成，账号可下单、配额已批复、域名 NS 生效、证书已签发</t>
  </si>
  <si>
    <t>实名认证截图、配额批复工单号、dig NS 结果、证书 ID</t>
  </si>
  <si>
    <t>未通过则 5 天工期不可达，必须顺延</t>
  </si>
  <si>
    <t>M1 D1 结束：合规与数据底座就绪</t>
  </si>
  <si>
    <t>账号合规收口、马尼拉网络底座可用、RDS/Tair/ClickHouse/OSS 已创建</t>
  </si>
  <si>
    <t>VPC/EIP 清单、RDS 实例详情、Tair 与 CH 连接测试记录</t>
  </si>
  <si>
    <t>人员A / 人员B</t>
  </si>
  <si>
    <t>RDS 主备跨可用区</t>
  </si>
  <si>
    <t>M2 D2 结束：计算底座与主库就绪</t>
  </si>
  <si>
    <t>ACK 集群与 4 节点 Ready、RDS 账号与备份策略生效、双地域 ACR 可拉取镜像、master 迁移幂等</t>
  </si>
  <si>
    <t>节点列表、RDS 备份列表、镜像拉取记录、迁移两次的幂等验证记录</t>
  </si>
  <si>
    <t>master 迁移必须连续两次结果一致</t>
  </si>
  <si>
    <t>M3 D3 结束：接入层打通且主站点可灰度</t>
  </si>
  <si>
    <t>ALB/WAF/GTM 生效、stable 4 副本跨 AZ、安全组与白名单核对通过</t>
  </si>
  <si>
    <t>ALB 健康检查截图、WAF 拦截记录、Pod 跨 AZ 分布截图、安全组核对表</t>
  </si>
  <si>
    <t>此时系统已可对外提供服务（仅主站点）</t>
  </si>
  <si>
    <t>M4 D4 结束：备 region 接管可用且可观测就绪</t>
  </si>
  <si>
    <t>备 region 公网读写马尼拉主库成功（RTT ≤ 70ms）、PH 备 2 副本 Ready、SLS/ARMS/拨测可见、canary 权重可用</t>
  </si>
  <si>
    <t>连接测试记录（含 sslmode=verify-full）、Pod 配置截图、拨测报表、看板截图</t>
  </si>
  <si>
    <t>RTT &gt; 100ms 或失败率 &gt; 0.1% 时暂不挂入 GTM</t>
  </si>
  <si>
    <t>M5 D5 结束：演练通过、正式上线并完成移交</t>
  </si>
  <si>
    <t>备 region 接管与主库切换演练通过、压测达标、安全核查无高危项、上线检查表通过</t>
  </si>
  <si>
    <t>演练报告（含 RTO/RPO）、压测报告、安全核查清单、上线检查表、Runbook</t>
  </si>
  <si>
    <t>上线后 1 小时值守观察</t>
  </si>
  <si>
    <t>关键风险与前置依赖（2 人 / 5 天口径）</t>
  </si>
  <si>
    <t>风险 / 前置依赖</t>
  </si>
  <si>
    <t>影响</t>
  </si>
  <si>
    <t>应对措施</t>
  </si>
  <si>
    <t>责任角色</t>
  </si>
  <si>
    <t>触发信号</t>
  </si>
  <si>
    <t>新增风险等级</t>
  </si>
  <si>
    <t>剩余风险</t>
  </si>
  <si>
    <t>企业实名认证或配额审批未在 T-3 完成</t>
  </si>
  <si>
    <t>5 天工期直接不可达，全案顺延</t>
  </si>
  <si>
    <t>T-3 上午立即提交；每日 18:00 跟进工单；先用已批复配额创建 VPC/ALB 等低配额资源</t>
  </si>
  <si>
    <t>T-3 日落前未通过 / 未批复</t>
  </si>
  <si>
    <t>高</t>
  </si>
  <si>
    <t>工期顺延 2–3 天</t>
  </si>
  <si>
    <t>唯一的外部不可控项</t>
  </si>
  <si>
    <t>仅 2 人且无人员冗余</t>
  </si>
  <si>
    <t>任一人阻塞或请假，关键路径断裂导致整体延期</t>
  </si>
  <si>
    <t>明确 A/B 分工并互备关键命令；每日 15 分钟站会同步阻碍项；预留每日 1 小时加班缓冲</t>
  </si>
  <si>
    <t>单日任务完成率 &lt; 80%</t>
  </si>
  <si>
    <t>需临时补充第三人</t>
  </si>
  <si>
    <t>A 负责网络/接入，B 负责数据/应用</t>
  </si>
  <si>
    <t>域名 NS 生效需 24–48 小时</t>
  </si>
  <si>
    <t>D1 接入层无法验证，顺延 D3</t>
  </si>
  <si>
    <t>T-3 完成 NS 托管并 dig 验证；未生效前先用 ALB 默认域名完成配置验证</t>
  </si>
  <si>
    <t>dig 返回非阿里云 DNS</t>
  </si>
  <si>
    <t>中</t>
  </si>
  <si>
    <t>顺延 1 天</t>
  </si>
  <si>
    <t>已在 G4 列为门禁</t>
  </si>
  <si>
    <t>代码侧补建项未完成（/healthz、/readyz、/metrics、限流降级）</t>
  </si>
  <si>
    <t>探针不准确、监控缺失、Tair 故障时 fail-closed 直接 5xx</t>
  </si>
  <si>
    <t>T-3 前完成排期与代码合并；未完成时探针临时用 /api/status 与 TCP，限流降级列为上线后首周必办项</t>
  </si>
  <si>
    <t>D2 部署时探针仍指向 /api/status</t>
  </si>
  <si>
    <t>可用性指标置信度下降</t>
  </si>
  <si>
    <t>属已知缺口，非本次部署可闭环</t>
  </si>
  <si>
    <t>新加坡 → 马尼拉 RDS 公网延迟或抖动</t>
  </si>
  <si>
    <t>备 region 接管期写延迟抬升，影响体感</t>
  </si>
  <si>
    <t>D4 完成实测并留存基线；RTT &gt; 100ms 或失败率 &gt; 0.1% 时暂不把备 region 挂入 GTM 备地址池</t>
  </si>
  <si>
    <t>拨测 RTT 超标</t>
  </si>
  <si>
    <t>接管期写入 P99 抬升 ≤ 80ms</t>
  </si>
  <si>
    <t>链路不健康时阻断接管</t>
  </si>
  <si>
    <t>备 region 误以 master 启动导致并发迁移同一 schema</t>
  </si>
  <si>
    <t>迁移冲突、锁表甚至数据损坏</t>
  </si>
  <si>
    <t>备 region 固定 NODE_TYPE=slave 并纳入部署门禁校验；备 region 不授予迁移权限账号</t>
  </si>
  <si>
    <t>备 region 日志出现 AutoMigrate</t>
  </si>
  <si>
    <t>可控（门禁拦截）</t>
  </si>
  <si>
    <t>红线项</t>
  </si>
  <si>
    <t>双写风险（主站点与备 region 同时写同一主库）</t>
  </si>
  <si>
    <t>计费对账分裂、额度超扣或重复扣</t>
  </si>
  <si>
    <t>GTM 健康探测 + 主站点 ALB 摘流共同收口；禁止本地库、只读副本与 DTS 链路；D5 接管演练验证</t>
  </si>
  <si>
    <t>同一 request_id 出现双写记录</t>
  </si>
  <si>
    <t>可控（架构层面消除）</t>
  </si>
  <si>
    <t>5 天无缓冲，D5 演练发现问题无修复窗口</t>
  </si>
  <si>
    <t>上线延期或带缺陷上线</t>
  </si>
  <si>
    <t>将 D5 的演练与上线设为可顺延日；必要时按下方裁剪预案降级交付范围</t>
  </si>
  <si>
    <t>D4 结束仍有 M4 未通过项</t>
  </si>
  <si>
    <t>延期 1 天或降级交付</t>
  </si>
  <si>
    <t>建议预留 D6 作为缓冲日</t>
  </si>
  <si>
    <t>成本超预算（出站带宽与 ALB LCU 为主要变量）</t>
  </si>
  <si>
    <t>需追加预算或降配</t>
  </si>
  <si>
    <t>成本标签 + 预算告警；备 region 采用冷备形态（副本置 0 + GTM 触发扩容）显著降低常态成本</t>
  </si>
  <si>
    <t>月度账单达到预算 80%</t>
  </si>
  <si>
    <t>低</t>
  </si>
  <si>
    <t>RTO 由秒级变为分钟级</t>
  </si>
  <si>
    <t>工期裁剪预案（按以下顺序降级，优先保主站点可上线）</t>
  </si>
  <si>
    <t>顺序</t>
  </si>
  <si>
    <t>裁剪项</t>
  </si>
  <si>
    <t>触发条件</t>
  </si>
  <si>
    <t>决策人</t>
  </si>
  <si>
    <t>是否影响 SLA</t>
  </si>
  <si>
    <t>可否上线后补齐</t>
  </si>
  <si>
    <t>DCDN 静态加速延后至上线后</t>
  </si>
  <si>
    <t>D2 工期紧张</t>
  </si>
  <si>
    <t>静态资源不经 CDN，首屏略慢</t>
  </si>
  <si>
    <t>否</t>
  </si>
  <si>
    <t>可</t>
  </si>
  <si>
    <t>改动最小</t>
  </si>
  <si>
    <t>RDS 只读实例取消</t>
  </si>
  <si>
    <t>成本或工期紧张</t>
  </si>
  <si>
    <t>报表查询与主库争用</t>
  </si>
  <si>
    <t>备 region 本地 ClickHouse 暂用主站点 ClickHouse</t>
  </si>
  <si>
    <t>D4 工期紧张</t>
  </si>
  <si>
    <t>备 region 日志跨区写入，接管期略慢</t>
  </si>
  <si>
    <t>不影响主链路</t>
  </si>
  <si>
    <t>压测验收缩短为关键场景抽测</t>
  </si>
  <si>
    <t>D5 时间不足</t>
  </si>
  <si>
    <t>容量结论置信度下降</t>
  </si>
  <si>
    <t>需上线后一周内补测</t>
  </si>
  <si>
    <t>备 region 热备（2 副本）改为冷备（0 副本 + GTM 触发扩容）</t>
  </si>
  <si>
    <t>成本优先</t>
  </si>
  <si>
    <t>接管 RTO 由秒级变为分钟级</t>
  </si>
  <si>
    <t>是（RTO 变长）</t>
  </si>
  <si>
    <t>可用性仍满足 99.95% 但切换体验下降</t>
  </si>
  <si>
    <t>备 region 整体延后至上线后第 2 周</t>
  </si>
  <si>
    <t>D4 结束仍未打通公网读写</t>
  </si>
  <si>
    <t>失去区域级容灾，SLA 目标不达标</t>
  </si>
  <si>
    <t>是（SLA 不达标）</t>
  </si>
  <si>
    <t>最后手段，需书面记录风险</t>
  </si>
  <si>
    <t>系统盘 100G ESSD PL1 + 数据盘 300G ESSD；nofile=200000</t>
  </si>
  <si>
    <t>日期口径：D1 = 部署启动日，落地计划中每项任务的日期均由此基准自动推算；任务均为「半天时段」粒度，D1上午 = 时段 S1 …… D5下午 = 时段 S10。数据来源：资源规格、数量与关键配置取自 impl_deploy.md 第 7.2 / 7.4 / 7.9 节；人时与配额为估算口径，需按实际情况与团队熟练度校准。</t>
  </si>
  <si>
    <t>T-3 前置项（企业实名认证、资源配额审批、域名 NS 生效、证书签发、云产品开通）必须全部完成；任一项未完成则 5 天工期不可达，须顺延</t>
  </si>
</sst>
</file>

<file path=xl/styles.xml><?xml version="1.0" encoding="utf-8"?>
<styleSheet xmlns="http://schemas.openxmlformats.org/spreadsheetml/2006/main">
  <numFmts count="8">
    <numFmt numFmtId="300" formatCode="yyyy\-mm\-dd"/>
    <numFmt numFmtId="301" formatCode="0.0"/>
    <numFmt numFmtId="302" formatCode="General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  <numFmt numFmtId="306" formatCode="_ &quot;￥&quot;* #,##0_ ;_ &quot;￥&quot;* \-#,##0_ ;_ &quot;￥&quot;* &quot;-&quot;_ ;_ @_ "/>
    <numFmt numFmtId="307" formatCode="_ * #,##0.00_ ;_ * \-#,##0.00_ ;_ * &quot;-&quot;??_ ;_ @_ "/>
  </numFmts>
  <fonts count="32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1F4E79"/>
      <sz val="14"/>
    </font>
    <font>
      <name val="Microsoft YaHei"/>
      <charset val="134"/>
      <b val="1"/>
      <color rgb="FF1F4E79"/>
      <sz val="11"/>
    </font>
    <font>
      <name val="Microsoft YaHei"/>
      <charset val="134"/>
      <b val="1"/>
      <sz val="9"/>
    </font>
    <font>
      <name val="Microsoft YaHei"/>
      <charset val="134"/>
      <sz val="9"/>
    </font>
    <font>
      <name val="Microsoft YaHei"/>
      <charset val="134"/>
      <b val="1"/>
      <color rgb="FFFFFFFF"/>
      <sz val="9"/>
    </font>
    <font>
      <name val="Microsoft YaHei"/>
      <charset val="134"/>
      <i val="1"/>
      <color rgb="FF808080"/>
      <sz val="9"/>
    </font>
    <font>
      <name val="Microsoft YaHei"/>
      <charset val="134"/>
      <b val="1"/>
      <color rgb="FFC00000"/>
      <sz val="9"/>
    </font>
    <font>
      <name val="Microsoft YaHei"/>
      <charset val="134"/>
      <b val="1"/>
      <color rgb="FF833C00"/>
      <sz val="9"/>
    </font>
    <font>
      <b val="1"/>
      <color rgb="FFFFFFFF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D8D8D8"/>
      </patternFill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none"/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>
    <xf numFmtId="302" fontId="12" fillId="0" borderId="2" xfId="0"/>
    <xf numFmtId="302" fontId="13" fillId="12" borderId="2" xfId="0" applyNumberFormat="0" applyBorder="0" applyAlignment="0" applyProtection="0">
      <alignment vertical="center"/>
    </xf>
    <xf numFmtId="302" fontId="14" fillId="13" borderId="2" xfId="0" applyNumberFormat="0" applyBorder="0" applyAlignment="0" applyProtection="0">
      <alignment vertical="center"/>
    </xf>
    <xf numFmtId="302" fontId="15" fillId="14" borderId="2" xfId="0" applyNumberFormat="0" applyBorder="0" applyAlignment="0" applyProtection="0">
      <alignment vertical="center"/>
    </xf>
    <xf numFmtId="302" fontId="16" fillId="15" borderId="2" xfId="0" applyNumberFormat="0" applyBorder="0" applyAlignment="0" applyProtection="0">
      <alignment vertical="center"/>
    </xf>
    <xf numFmtId="302" fontId="17" fillId="11" borderId="3" xfId="0" applyNumberFormat="0" applyFill="0" applyAlignment="0" applyProtection="0">
      <alignment vertical="center"/>
    </xf>
    <xf numFmtId="302" fontId="18" fillId="11" borderId="4" xfId="0" applyNumberFormat="0" applyFill="0" applyAlignment="0" applyProtection="0">
      <alignment vertical="center"/>
    </xf>
    <xf numFmtId="302" fontId="14" fillId="16" borderId="2" xfId="0" applyNumberFormat="0" applyBorder="0" applyAlignment="0" applyProtection="0">
      <alignment vertical="center"/>
    </xf>
    <xf numFmtId="302" fontId="13" fillId="17" borderId="2" xfId="0" applyNumberFormat="0" applyBorder="0" applyAlignment="0" applyProtection="0">
      <alignment vertical="center"/>
    </xf>
    <xf numFmtId="302" fontId="19" fillId="18" borderId="5" xfId="0" applyNumberFormat="0" applyAlignment="0" applyProtection="0">
      <alignment vertical="center"/>
    </xf>
    <xf numFmtId="302" fontId="20" fillId="19" borderId="6" xfId="0" applyNumberFormat="0" applyAlignment="0" applyProtection="0">
      <alignment vertical="center"/>
    </xf>
    <xf numFmtId="302" fontId="21" fillId="19" borderId="7" xfId="0" applyNumberFormat="0" applyAlignment="0" applyProtection="0">
      <alignment vertical="center"/>
    </xf>
    <xf numFmtId="302" fontId="22" fillId="11" borderId="8" xfId="0" applyNumberFormat="0" applyFill="0" applyAlignment="0" applyProtection="0">
      <alignment vertical="center"/>
    </xf>
    <xf numFmtId="302" fontId="14" fillId="20" borderId="2" xfId="0" applyNumberFormat="0" applyBorder="0" applyAlignment="0" applyProtection="0">
      <alignment vertical="center"/>
    </xf>
    <xf numFmtId="302" fontId="14" fillId="21" borderId="2" xfId="0" applyNumberFormat="0" applyBorder="0" applyAlignment="0" applyProtection="0">
      <alignment vertical="center"/>
    </xf>
    <xf numFmtId="302" fontId="22" fillId="11" borderId="2" xfId="0" applyNumberFormat="0" applyFill="0" applyBorder="0" applyAlignment="0" applyProtection="0">
      <alignment vertical="center"/>
    </xf>
    <xf numFmtId="302" fontId="14" fillId="22" borderId="2" xfId="0" applyNumberFormat="0" applyBorder="0" applyAlignment="0" applyProtection="0">
      <alignment vertical="center"/>
    </xf>
    <xf numFmtId="302" fontId="14" fillId="23" borderId="2" xfId="0" applyNumberFormat="0" applyBorder="0" applyAlignment="0" applyProtection="0">
      <alignment vertical="center"/>
    </xf>
    <xf numFmtId="303" fontId="12" fillId="11" borderId="2" xfId="0" applyFont="0" applyFill="0" applyBorder="0" applyAlignment="0" applyProtection="0">
      <alignment vertical="center"/>
    </xf>
    <xf numFmtId="302" fontId="13" fillId="24" borderId="2" xfId="0" applyNumberFormat="0" applyBorder="0" applyAlignment="0" applyProtection="0">
      <alignment vertical="center"/>
    </xf>
    <xf numFmtId="304" fontId="12" fillId="11" borderId="2" xfId="0" applyFont="0" applyFill="0" applyBorder="0" applyAlignment="0" applyProtection="0">
      <alignment vertical="center"/>
    </xf>
    <xf numFmtId="302" fontId="23" fillId="11" borderId="2" xfId="0" applyNumberFormat="0" applyFill="0" applyBorder="0" applyAlignment="0" applyProtection="0">
      <alignment vertical="center"/>
    </xf>
    <xf numFmtId="302" fontId="13" fillId="25" borderId="2" xfId="0" applyNumberFormat="0" applyBorder="0" applyAlignment="0" applyProtection="0">
      <alignment vertical="center"/>
    </xf>
    <xf numFmtId="302" fontId="13" fillId="26" borderId="2" xfId="0" applyNumberFormat="0" applyBorder="0" applyAlignment="0" applyProtection="0">
      <alignment vertical="center"/>
    </xf>
    <xf numFmtId="305" fontId="12" fillId="11" borderId="2" xfId="0" applyFont="0" applyFill="0" applyBorder="0" applyAlignment="0" applyProtection="0">
      <alignment vertical="center"/>
    </xf>
    <xf numFmtId="302" fontId="13" fillId="27" borderId="2" xfId="0" applyNumberFormat="0" applyBorder="0" applyAlignment="0" applyProtection="0">
      <alignment vertical="center"/>
    </xf>
    <xf numFmtId="302" fontId="13" fillId="28" borderId="2" xfId="0" applyNumberFormat="0" applyBorder="0" applyAlignment="0" applyProtection="0">
      <alignment vertical="center"/>
    </xf>
    <xf numFmtId="302" fontId="13" fillId="29" borderId="2" xfId="0" applyNumberFormat="0" applyBorder="0" applyAlignment="0" applyProtection="0">
      <alignment vertical="center"/>
    </xf>
    <xf numFmtId="302" fontId="14" fillId="30" borderId="2" xfId="0" applyNumberFormat="0" applyBorder="0" applyAlignment="0" applyProtection="0">
      <alignment vertical="center"/>
    </xf>
    <xf numFmtId="302" fontId="24" fillId="11" borderId="2" xfId="0" applyNumberFormat="0" applyFill="0" applyBorder="0" applyAlignment="0" applyProtection="0">
      <alignment vertical="center"/>
    </xf>
    <xf numFmtId="302" fontId="14" fillId="31" borderId="2" xfId="0" applyNumberFormat="0" applyBorder="0" applyAlignment="0" applyProtection="0">
      <alignment vertical="center"/>
    </xf>
    <xf numFmtId="302" fontId="25" fillId="11" borderId="2" xfId="0" applyNumberFormat="0" applyFill="0" applyBorder="0" applyAlignment="0" applyProtection="0">
      <alignment vertical="center"/>
    </xf>
    <xf numFmtId="302" fontId="14" fillId="32" borderId="2" xfId="0" applyNumberFormat="0" applyBorder="0" applyAlignment="0" applyProtection="0">
      <alignment vertical="center"/>
    </xf>
    <xf numFmtId="302" fontId="13" fillId="33" borderId="2" xfId="0" applyNumberFormat="0" applyBorder="0" applyAlignment="0" applyProtection="0">
      <alignment vertical="center"/>
    </xf>
    <xf numFmtId="302" fontId="14" fillId="34" borderId="2" xfId="0" applyNumberFormat="0" applyBorder="0" applyAlignment="0" applyProtection="0">
      <alignment vertical="center"/>
    </xf>
    <xf numFmtId="302" fontId="26" fillId="11" borderId="2" xfId="0" applyNumberFormat="0" applyFill="0" applyBorder="0" applyAlignment="0" applyProtection="0">
      <alignment vertical="center"/>
    </xf>
    <xf numFmtId="302" fontId="13" fillId="35" borderId="2" xfId="0" applyNumberFormat="0" applyBorder="0" applyAlignment="0" applyProtection="0">
      <alignment vertical="center"/>
    </xf>
    <xf numFmtId="302" fontId="12" fillId="36" borderId="9" xfId="0" applyNumberFormat="0" applyFont="0" applyAlignment="0" applyProtection="0">
      <alignment vertical="center"/>
    </xf>
    <xf numFmtId="302" fontId="27" fillId="37" borderId="2" xfId="0" applyNumberFormat="0" applyBorder="0" applyAlignment="0" applyProtection="0">
      <alignment vertical="center"/>
    </xf>
    <xf numFmtId="302" fontId="13" fillId="38" borderId="2" xfId="0" applyNumberFormat="0" applyBorder="0" applyAlignment="0" applyProtection="0">
      <alignment vertical="center"/>
    </xf>
    <xf numFmtId="306" fontId="12" fillId="11" borderId="2" xfId="0" applyFont="0" applyFill="0" applyBorder="0" applyAlignment="0" applyProtection="0">
      <alignment vertical="center"/>
    </xf>
    <xf numFmtId="302" fontId="14" fillId="39" borderId="2" xfId="0" applyNumberFormat="0" applyBorder="0" applyAlignment="0" applyProtection="0">
      <alignment vertical="center"/>
    </xf>
    <xf numFmtId="307" fontId="12" fillId="11" borderId="2" xfId="0" applyFont="0" applyFill="0" applyBorder="0" applyAlignment="0" applyProtection="0">
      <alignment vertical="center"/>
    </xf>
    <xf numFmtId="302" fontId="14" fillId="40" borderId="2" xfId="0" applyNumberFormat="0" applyBorder="0" applyAlignment="0" applyProtection="0">
      <alignment vertical="center"/>
    </xf>
    <xf numFmtId="302" fontId="28" fillId="41" borderId="6" xfId="0" applyNumberFormat="0" applyAlignment="0" applyProtection="0">
      <alignment vertical="center"/>
    </xf>
    <xf numFmtId="302" fontId="13" fillId="42" borderId="2" xfId="0" applyNumberFormat="0" applyBorder="0" applyAlignment="0" applyProtection="0">
      <alignment vertical="center"/>
    </xf>
    <xf numFmtId="302" fontId="29" fillId="11" borderId="2" xfId="0" applyNumberFormat="0" applyFill="0" applyBorder="0" applyAlignment="0" applyProtection="0">
      <alignment vertical="center"/>
    </xf>
    <xf numFmtId="302" fontId="30" fillId="11" borderId="10" xfId="0" applyNumberFormat="0" applyFill="0" applyAlignment="0" applyProtection="0">
      <alignment vertical="center"/>
    </xf>
    <xf numFmtId="302" fontId="31" fillId="11" borderId="10" xfId="0" applyNumberFormat="0" applyFill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0" borderId="2" xfId="0" applyFont="1"/>
    <xf numFmtId="302" fontId="4" fillId="2" borderId="2" xfId="0" applyFont="1" applyFill="1"/>
    <xf numFmtId="302" fontId="5" fillId="0" borderId="1" xfId="0" applyFont="1" applyBorder="1" applyAlignment="1">
      <alignment vertical="top" wrapText="1"/>
    </xf>
    <xf numFmtId="302" fontId="6" fillId="0" borderId="1" xfId="0" applyFont="1" applyBorder="1" applyAlignment="1">
      <alignment vertical="top" wrapText="1"/>
    </xf>
    <xf numFmtId="302" fontId="6" fillId="3" borderId="1" xfId="0" applyFont="1" applyFill="1" applyBorder="1" applyAlignment="1">
      <alignment vertical="top" wrapText="1"/>
    </xf>
    <xf numFmtId="302" fontId="4" fillId="2" borderId="2" xfId="0" applyFont="1" applyFill="1" applyAlignment="1">
      <alignment vertical="center"/>
    </xf>
    <xf numFmtId="302" fontId="7" fillId="4" borderId="1" xfId="0" applyFont="1" applyFill="1" applyBorder="1" applyAlignment="1">
      <alignment horizontal="center" vertical="center" wrapText="1"/>
    </xf>
    <xf numFmtId="300" fontId="6" fillId="5" borderId="1" xfId="0" applyNumberFormat="1" applyFont="1" applyFill="1" applyBorder="1" applyAlignment="1">
      <alignment vertical="top" wrapText="1"/>
    </xf>
    <xf numFmtId="302" fontId="6" fillId="5" borderId="1" xfId="0" applyFont="1" applyFill="1" applyBorder="1" applyAlignment="1">
      <alignment vertical="top" wrapText="1"/>
    </xf>
    <xf numFmtId="302" fontId="8" fillId="0" borderId="2" xfId="0" applyFont="1" applyAlignment="1">
      <alignment vertical="top" wrapText="1"/>
    </xf>
    <xf numFmtId="302" fontId="6" fillId="6" borderId="1" xfId="0" applyFont="1" applyFill="1" applyBorder="1" applyAlignment="1">
      <alignment vertical="top" wrapText="1"/>
    </xf>
    <xf numFmtId="302" fontId="9" fillId="0" borderId="2" xfId="0" applyFont="1"/>
    <xf numFmtId="302" fontId="5" fillId="0" borderId="1" xfId="0" applyFont="1" applyBorder="1" applyAlignment="1">
      <alignment horizontal="center" vertical="center" wrapText="1"/>
    </xf>
    <xf numFmtId="302" fontId="6" fillId="0" borderId="1" xfId="0" applyFont="1" applyBorder="1" applyAlignment="1">
      <alignment horizontal="center" vertical="center" wrapText="1"/>
    </xf>
    <xf numFmtId="300" fontId="6" fillId="0" borderId="1" xfId="0" applyNumberFormat="1" applyFont="1" applyBorder="1" applyAlignment="1">
      <alignment horizontal="center" vertical="center" wrapText="1"/>
    </xf>
    <xf numFmtId="301" fontId="6" fillId="0" borderId="1" xfId="0" applyNumberFormat="1" applyFont="1" applyBorder="1" applyAlignment="1">
      <alignment horizontal="center" vertical="center" wrapText="1"/>
    </xf>
    <xf numFmtId="302" fontId="5" fillId="6" borderId="1" xfId="0" applyFont="1" applyFill="1" applyBorder="1" applyAlignment="1">
      <alignment horizontal="center" vertical="center" wrapText="1"/>
    </xf>
    <xf numFmtId="302" fontId="6" fillId="6" borderId="1" xfId="0" applyFont="1" applyFill="1" applyBorder="1" applyAlignment="1">
      <alignment horizontal="center" vertical="center" wrapText="1"/>
    </xf>
    <xf numFmtId="300" fontId="6" fillId="6" borderId="1" xfId="0" applyNumberFormat="1" applyFont="1" applyFill="1" applyBorder="1" applyAlignment="1">
      <alignment horizontal="center" vertical="center" wrapText="1"/>
    </xf>
    <xf numFmtId="301" fontId="6" fillId="6" borderId="1" xfId="0" applyNumberFormat="1" applyFont="1" applyFill="1" applyBorder="1" applyAlignment="1">
      <alignment horizontal="center" vertical="center" wrapText="1"/>
    </xf>
    <xf numFmtId="302" fontId="5" fillId="0" borderId="2" xfId="0" applyFont="1"/>
    <xf numFmtId="302" fontId="5" fillId="0" borderId="2" xfId="0" applyFont="1" applyAlignment="1">
      <alignment horizontal="center" vertical="center" wrapText="1"/>
    </xf>
    <xf numFmtId="302" fontId="12" fillId="0" borderId="1" xfId="0" applyBorder="1"/>
    <xf numFmtId="302" fontId="10" fillId="3" borderId="1" xfId="0" applyFont="1" applyFill="1" applyBorder="1" applyAlignment="1">
      <alignment horizontal="center" vertical="center" wrapText="1"/>
    </xf>
    <xf numFmtId="302" fontId="5" fillId="5" borderId="1" xfId="0" applyFont="1" applyFill="1" applyBorder="1" applyAlignment="1">
      <alignment vertical="top" wrapText="1"/>
    </xf>
    <xf numFmtId="302" fontId="6" fillId="5" borderId="1" xfId="0" applyFont="1" applyFill="1" applyBorder="1" applyAlignment="1">
      <alignment horizontal="center" vertical="center" wrapText="1"/>
    </xf>
    <xf numFmtId="300" fontId="6" fillId="0" borderId="1" xfId="0" applyNumberFormat="1" applyFont="1" applyBorder="1" applyAlignment="1">
      <alignment vertical="top" wrapText="1"/>
    </xf>
    <xf numFmtId="302" fontId="6" fillId="7" borderId="1" xfId="0" applyFont="1" applyFill="1" applyBorder="1" applyAlignment="1">
      <alignment vertical="top" wrapText="1"/>
    </xf>
    <xf numFmtId="0" fontId="6" fillId="6" borderId="1" xfId="0" applyNumberFormat="1" applyFont="1" applyFill="1" applyBorder="1" applyAlignment="1">
      <alignment vertical="top" wrapText="1"/>
    </xf>
    <xf numFmtId="302" fontId="6" fillId="8" borderId="1" xfId="0" applyFont="1" applyFill="1" applyBorder="1" applyAlignment="1">
      <alignment vertical="top" wrapText="1"/>
    </xf>
    <xf numFmtId="302" fontId="6" fillId="9" borderId="1" xfId="0" applyFont="1" applyFill="1" applyBorder="1" applyAlignment="1">
      <alignment vertical="top" wrapText="1"/>
    </xf>
    <xf numFmtId="0" fontId="8" fillId="0" borderId="2" xfId="0" applyNumberFormat="1" applyFont="1" applyAlignment="1">
      <alignment vertical="top" wrapText="1"/>
    </xf>
    <xf numFmtId="0" fontId="6" fillId="3" borderId="1" xfId="0" applyNumberFormat="1" applyFont="1" applyFill="1" applyBorder="1" applyAlignment="1">
      <alignment vertical="top" wrapText="1"/>
    </xf>
    <xf fontId="11" fillId="10" borderId="0" xfId="0"/>
  </cellXfs>
  <cellStyles>
    <cellStyle name="常规" xfId="0" builtinId="0"/>
    <cellStyle name="20% - 强调文字颜色 1" xfId="1" builtinId="30"/>
    <cellStyle name="强调文字颜色 1" xfId="2" builtinId="29"/>
    <cellStyle name="适中" xfId="3" builtinId="28"/>
    <cellStyle name="好" xfId="4" builtinId="26"/>
    <cellStyle name="汇总" xfId="5" builtinId="25"/>
    <cellStyle name="链接单元格" xfId="6" builtinId="24"/>
    <cellStyle name="强调文字颜色 2" xfId="7" builtinId="33"/>
    <cellStyle name="20% - 强调文字颜色 6" xfId="8" builtinId="50"/>
    <cellStyle name="检查单元格" xfId="9" builtinId="23"/>
    <cellStyle name="计算" xfId="10" builtinId="22"/>
    <cellStyle name="输出" xfId="11" builtinId="21"/>
    <cellStyle name="标题 3" xfId="12" builtinId="18"/>
    <cellStyle name="60% - 强调文字颜色 1" xfId="13" builtinId="32"/>
    <cellStyle name="60% - 强调文字颜色 2" xfId="14" builtinId="36"/>
    <cellStyle name="标题 4" xfId="15" builtinId="19"/>
    <cellStyle name="强调文字颜色 3" xfId="16" builtinId="37"/>
    <cellStyle name="强调文字颜色 4" xfId="17" builtinId="41"/>
    <cellStyle name="货币" xfId="18" builtinId="4"/>
    <cellStyle name="20% - 强调文字颜色 4" xfId="19" builtinId="42"/>
    <cellStyle name="百分比" xfId="20" builtinId="5"/>
    <cellStyle name="已访问的超链接" xfId="21" builtinId="9"/>
    <cellStyle name="20% - 强调文字颜色 5" xfId="22" builtinId="46"/>
    <cellStyle name="40% - 强调文字颜色 4" xfId="23" builtinId="43"/>
    <cellStyle name="千位分隔[0]" xfId="24" builtinId="6"/>
    <cellStyle name="20% - 强调文字颜色 2" xfId="25" builtinId="34"/>
    <cellStyle name="40% - 强调文字颜色 6" xfId="26" builtinId="51"/>
    <cellStyle name="40% - 强调文字颜色 2" xfId="27" builtinId="35"/>
    <cellStyle name="60% - 强调文字颜色 6" xfId="28" builtinId="52"/>
    <cellStyle name="标题" xfId="29" builtinId="15"/>
    <cellStyle name="强调文字颜色 5" xfId="30" builtinId="45"/>
    <cellStyle name="超链接" xfId="31" builtinId="8"/>
    <cellStyle name="强调文字颜色 6" xfId="32" builtinId="49"/>
    <cellStyle name="40% - 强调文字颜色 1" xfId="33" builtinId="31"/>
    <cellStyle name="60% - 强调文字颜色 5" xfId="34" builtinId="48"/>
    <cellStyle name="警告文本" xfId="35" builtinId="11"/>
    <cellStyle name="40% - 强调文字颜色 5" xfId="36" builtinId="47"/>
    <cellStyle name="注释" xfId="37" builtinId="10"/>
    <cellStyle name="差" xfId="38" builtinId="27"/>
    <cellStyle name="40% - 强调文字颜色 3" xfId="39" builtinId="39"/>
    <cellStyle name="货币[0]" xfId="40" builtinId="7"/>
    <cellStyle name="60% - 强调文字颜色 4" xfId="41" builtinId="44"/>
    <cellStyle name="千位分隔" xfId="42" builtinId="3"/>
    <cellStyle name="60% - 强调文字颜色 3" xfId="43" builtinId="40"/>
    <cellStyle name="输入" xfId="44" builtinId="20"/>
    <cellStyle name="20% - 强调文字颜色 3" xfId="45" builtinId="38"/>
    <cellStyle name="解释性文本" xfId="46" builtinId="53"/>
    <cellStyle name="标题 1" xfId="47" builtinId="16"/>
    <cellStyle name="标题 2" xfId="48" builtinId="17"/>
  </cellStyles>
  <dxfs count="2">
    <dxf>
      <font>
        <name val="Microsoft YaHei"/>
        <b val="1"/>
        <color rgb="FFFFFFFF"/>
        <sz val="8"/>
        <scheme val="none"/>
      </font>
      <fill>
        <patternFill patternType="solid">
          <fgColor rgb="FF4472C4"/>
        </patternFill>
      </fill>
    </dxf>
    <dxf>
      <font>
        <name val="Microsoft YaHei"/>
        <b val="1"/>
        <color rgb="FF9C0006"/>
        <sz val="9"/>
        <scheme val="none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B35"/>
  <sheetViews>
    <sheetView showGridLines="1" workbookViewId="0"/>
  </sheetViews>
  <sheetFormatPr defaultColWidth="9" defaultRowHeight="13.5" outlineLevelCol="1"/>
  <cols>
    <col min="1" max="1" width="34" customWidth="1"/>
    <col min="2" max="2" width="104" customWidth="1"/>
  </cols>
  <sheetData>
    <row r="1" spans="1:1" ht="24" customHeight="1">
      <c r="A1" s="4" t="s">
        <v>1</v>
      </c>
    </row>
    <row r="3" spans="1:1" ht="15">
      <c r="A3" s="5" t="s">
        <v>2</v>
      </c>
    </row>
    <row r="4" spans="1:2" ht="14.25">
      <c r="A4" s="6" t="s">
        <v>3</v>
      </c>
      <c r="B4" s="7" t="s">
        <v>4</v>
      </c>
    </row>
    <row r="5" spans="1:2" ht="14.25">
      <c r="A5" s="6" t="s">
        <v>5</v>
      </c>
      <c r="B5" s="7" t="s">
        <v>6</v>
      </c>
    </row>
    <row r="6" spans="1:2" ht="14.25">
      <c r="A6" s="6" t="s">
        <v>7</v>
      </c>
      <c r="B6" s="7" t="s">
        <v>8</v>
      </c>
    </row>
    <row r="7" spans="1:2" ht="14.25">
      <c r="A7" s="6" t="s">
        <v>9</v>
      </c>
      <c r="B7" s="7" t="s">
        <v>10</v>
      </c>
    </row>
    <row r="8" spans="1:2" ht="14.25">
      <c r="A8" s="6" t="s">
        <v>11</v>
      </c>
      <c r="B8" s="7" t="s">
        <v>12</v>
      </c>
    </row>
    <row r="9" spans="1:2" ht="14.25">
      <c r="A9" s="6" t="s">
        <v>13</v>
      </c>
      <c r="B9" s="7" t="s">
        <v>14</v>
      </c>
    </row>
    <row r="10" spans="1:2" ht="28.5">
      <c r="A10" s="6" t="s">
        <v>15</v>
      </c>
      <c r="B10" s="7" t="s">
        <v>16</v>
      </c>
    </row>
    <row r="11" spans="1:2" ht="14.25">
      <c r="A11" s="6" t="s">
        <v>17</v>
      </c>
      <c r="B11" s="7" t="s">
        <v>18</v>
      </c>
    </row>
    <row r="12" spans="1:2" ht="14.25">
      <c r="A12" s="6" t="s">
        <v>19</v>
      </c>
      <c r="B12" s="7" t="s">
        <v>20</v>
      </c>
    </row>
    <row r="13" spans="1:2" ht="14.25">
      <c r="A13" s="6" t="s">
        <v>21</v>
      </c>
      <c r="B13" s="7" t="s">
        <v>22</v>
      </c>
    </row>
    <row r="14" spans="1:2" ht="28.5">
      <c r="A14" s="6" t="s">
        <v>23</v>
      </c>
      <c r="B14" s="36" t="s">
        <v>867</v>
      </c>
    </row>
    <row r="15" spans="1:2" ht="14.25">
      <c r="A15" s="6" t="s">
        <v>25</v>
      </c>
      <c r="B15" s="7" t="s">
        <v>26</v>
      </c>
    </row>
    <row r="17" spans="1:1" ht="20" customHeight="1">
      <c r="A17" s="9" t="s">
        <v>27</v>
      </c>
    </row>
    <row r="18" spans="1:2" ht="14.25">
      <c r="A18" s="10" t="s">
        <v>28</v>
      </c>
      <c r="B18" s="10" t="s">
        <v>29</v>
      </c>
    </row>
    <row r="19" spans="1:2" ht="14.25">
      <c r="A19" s="6" t="s">
        <v>30</v>
      </c>
      <c r="B19" s="11">
        <v>46287</v>
      </c>
    </row>
    <row r="20" spans="1:2" ht="28.5">
      <c r="A20" s="6" t="s">
        <v>31</v>
      </c>
      <c r="B20" s="11">
        <v>46287</v>
      </c>
    </row>
    <row r="21" spans="1:2" ht="14.25">
      <c r="A21" s="6" t="s">
        <v>32</v>
      </c>
      <c r="B21" s="12" t="s">
        <v>33</v>
      </c>
    </row>
    <row r="22" spans="1:2" ht="14.25">
      <c r="A22" s="6" t="s">
        <v>34</v>
      </c>
      <c r="B22" s="12" t="s">
        <v>35</v>
      </c>
    </row>
    <row r="23" spans="1:2" ht="14.25">
      <c r="A23" s="6" t="s">
        <v>36</v>
      </c>
      <c r="B23" s="12" t="s">
        <v>37</v>
      </c>
    </row>
    <row r="24" spans="1:2" ht="14.25">
      <c r="A24" s="6" t="s">
        <v>38</v>
      </c>
      <c r="B24" s="12" t="s">
        <v>39</v>
      </c>
    </row>
    <row r="25" spans="1:2" ht="14.25">
      <c r="A25" s="6" t="s">
        <v>40</v>
      </c>
      <c r="B25" s="12" t="s">
        <v>41</v>
      </c>
    </row>
    <row r="26" spans="1:2" ht="14.25">
      <c r="A26" s="6" t="s">
        <v>42</v>
      </c>
      <c r="B26" s="12" t="s">
        <v>43</v>
      </c>
    </row>
    <row r="27" spans="1:1" ht="42" customHeight="1">
      <c r="A27" s="35" t="s">
        <v>866</v>
      </c>
    </row>
    <row r="29" spans="1:1" ht="20" customHeight="1">
      <c r="A29" s="9" t="s">
        <v>45</v>
      </c>
    </row>
    <row r="30" spans="1:2" ht="28.5">
      <c r="A30" s="6" t="s">
        <v>46</v>
      </c>
      <c r="B30" s="7" t="s">
        <v>47</v>
      </c>
    </row>
    <row r="31" spans="1:2" ht="28.5">
      <c r="A31" s="6" t="s">
        <v>48</v>
      </c>
      <c r="B31" s="7" t="s">
        <v>49</v>
      </c>
    </row>
    <row r="32" spans="1:2" ht="14.25">
      <c r="A32" s="6" t="s">
        <v>50</v>
      </c>
      <c r="B32" s="7" t="s">
        <v>51</v>
      </c>
    </row>
    <row r="33" spans="1:2" ht="14.25">
      <c r="A33" s="6" t="s">
        <v>52</v>
      </c>
      <c r="B33" s="7" t="s">
        <v>53</v>
      </c>
    </row>
    <row r="34" spans="1:2" ht="28.5">
      <c r="A34" s="6" t="s">
        <v>54</v>
      </c>
      <c r="B34" s="7" t="s">
        <v>55</v>
      </c>
    </row>
    <row r="35" spans="1:2" ht="14.25">
      <c r="A35" s="6" t="s">
        <v>56</v>
      </c>
      <c r="B35" s="7" t="s">
        <v>57</v>
      </c>
    </row>
  </sheetData>
  <mergeCells count="5">
    <mergeCell ref="A1:B1"/>
    <mergeCell ref="A3:B3"/>
    <mergeCell ref="A17:B17"/>
    <mergeCell ref="A27:B27"/>
    <mergeCell ref="A29:B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/>
  <dimension ref="K24"/>
  <sheetViews>
    <sheetView showGridLines="1" workbookViewId="0">
      <pane xSplit="2" ySplit="3" topLeftCell="C4" activePane="bottomRight" state="frozen"/>
    </sheetView>
  </sheetViews>
  <sheetFormatPr defaultColWidth="9" defaultRowHeight="13.5"/>
  <cols>
    <col min="1" max="1" width="6" customWidth="1"/>
    <col min="2" max="2" width="10" customWidth="1"/>
    <col min="3" max="3" width="28" customWidth="1"/>
    <col min="4" max="4" width="22" customWidth="1"/>
    <col min="5" max="5" width="60.75" customWidth="1"/>
    <col min="6" max="6" width="10" customWidth="1"/>
    <col min="7" max="8" width="12" customWidth="1"/>
    <col min="9" max="9" width="17" customWidth="1"/>
    <col min="10" max="10" width="9" customWidth="1"/>
    <col min="11" max="11" width="46" customWidth="1"/>
  </cols>
  <sheetData>
    <row r="1" spans="1:1" ht="24" customHeight="1">
      <c r="A1" s="4" t="s">
        <v>58</v>
      </c>
    </row>
    <row r="3" spans="1:11">
      <c r="A3" s="10" t="s">
        <v>59</v>
      </c>
      <c r="B3" s="10" t="s">
        <v>60</v>
      </c>
      <c r="C3" s="10" t="s">
        <v>61</v>
      </c>
      <c r="D3" s="10" t="s">
        <v>62</v>
      </c>
      <c r="E3" s="10" t="s">
        <v>63</v>
      </c>
      <c r="F3" s="10" t="s">
        <v>64</v>
      </c>
      <c r="G3" s="10" t="s">
        <v>65</v>
      </c>
      <c r="H3" s="10" t="s">
        <v>66</v>
      </c>
      <c r="I3" s="10" t="s">
        <v>67</v>
      </c>
      <c r="J3" s="10" t="s">
        <v>68</v>
      </c>
      <c r="K3" s="10" t="s">
        <v>69</v>
      </c>
    </row>
    <row r="4" spans="1:11">
      <c r="A4" s="7" t="s">
        <v>70</v>
      </c>
      <c r="B4" s="7" t="s">
        <v>71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76</v>
      </c>
      <c r="H4" s="7" t="s">
        <v>77</v>
      </c>
      <c r="I4" s="7" t="s">
        <v>78</v>
      </c>
      <c r="J4" s="7" t="s">
        <v>79</v>
      </c>
      <c r="K4" s="7" t="s">
        <v>80</v>
      </c>
    </row>
    <row r="5" spans="1:11">
      <c r="A5" s="14" t="s">
        <v>81</v>
      </c>
      <c r="B5" s="14" t="s">
        <v>71</v>
      </c>
      <c r="C5" s="14" t="s">
        <v>82</v>
      </c>
      <c r="D5" s="14" t="s">
        <v>83</v>
      </c>
      <c r="E5" s="14" t="s">
        <v>84</v>
      </c>
      <c r="F5" s="14" t="s">
        <v>70</v>
      </c>
      <c r="G5" s="14" t="s">
        <v>76</v>
      </c>
      <c r="H5" s="14" t="s">
        <v>77</v>
      </c>
      <c r="I5" s="14" t="s">
        <v>85</v>
      </c>
      <c r="J5" s="14" t="s">
        <v>79</v>
      </c>
      <c r="K5" s="34" t="s">
        <v>86</v>
      </c>
    </row>
    <row r="6" spans="1:11" ht="18.75" customHeight="1">
      <c r="A6" s="7" t="s">
        <v>87</v>
      </c>
      <c r="B6" s="7" t="s">
        <v>71</v>
      </c>
      <c r="C6" s="7" t="s">
        <v>88</v>
      </c>
      <c r="D6" s="7" t="s">
        <v>89</v>
      </c>
      <c r="E6" s="7" t="s">
        <v>90</v>
      </c>
      <c r="F6" s="7" t="s">
        <v>75</v>
      </c>
      <c r="G6" s="7" t="s">
        <v>91</v>
      </c>
      <c r="H6" s="7" t="s">
        <v>77</v>
      </c>
      <c r="I6" s="7" t="s">
        <v>78</v>
      </c>
      <c r="J6" s="7" t="s">
        <v>79</v>
      </c>
      <c r="K6" s="7" t="s">
        <v>92</v>
      </c>
    </row>
    <row r="7" spans="1:11" ht="18.75" customHeight="1">
      <c r="A7" s="14" t="s">
        <v>93</v>
      </c>
      <c r="B7" s="14" t="s">
        <v>94</v>
      </c>
      <c r="C7" s="14" t="s">
        <v>95</v>
      </c>
      <c r="D7" s="14" t="s">
        <v>96</v>
      </c>
      <c r="E7" s="14" t="s">
        <v>97</v>
      </c>
      <c r="F7" s="14" t="s">
        <v>70</v>
      </c>
      <c r="G7" s="14" t="s">
        <v>98</v>
      </c>
      <c r="H7" s="14" t="s">
        <v>77</v>
      </c>
      <c r="I7" s="14" t="s">
        <v>78</v>
      </c>
      <c r="J7" s="14" t="s">
        <v>75</v>
      </c>
      <c r="K7" s="14" t="s">
        <v>99</v>
      </c>
    </row>
    <row r="8" spans="1:11" ht="18.75" customHeight="1">
      <c r="A8" s="7" t="s">
        <v>100</v>
      </c>
      <c r="B8" s="7" t="s">
        <v>94</v>
      </c>
      <c r="C8" s="7" t="s">
        <v>101</v>
      </c>
      <c r="D8" s="7" t="s">
        <v>102</v>
      </c>
      <c r="E8" s="7" t="s">
        <v>103</v>
      </c>
      <c r="F8" s="7" t="s">
        <v>93</v>
      </c>
      <c r="G8" s="7" t="s">
        <v>98</v>
      </c>
      <c r="H8" s="7" t="s">
        <v>77</v>
      </c>
      <c r="I8" s="7" t="s">
        <v>78</v>
      </c>
      <c r="J8" s="7" t="s">
        <v>79</v>
      </c>
      <c r="K8" s="7" t="s">
        <v>104</v>
      </c>
    </row>
    <row r="9" spans="1:11" ht="18" customHeight="1">
      <c r="A9" s="14" t="s">
        <v>105</v>
      </c>
      <c r="B9" s="14" t="s">
        <v>94</v>
      </c>
      <c r="C9" s="14" t="s">
        <v>106</v>
      </c>
      <c r="D9" s="14" t="s">
        <v>107</v>
      </c>
      <c r="E9" s="14" t="s">
        <v>108</v>
      </c>
      <c r="F9" s="14" t="s">
        <v>100</v>
      </c>
      <c r="G9" s="14" t="s">
        <v>109</v>
      </c>
      <c r="H9" s="14" t="s">
        <v>77</v>
      </c>
      <c r="I9" s="14" t="s">
        <v>78</v>
      </c>
      <c r="J9" s="14" t="s">
        <v>75</v>
      </c>
      <c r="K9" s="14" t="s">
        <v>110</v>
      </c>
    </row>
    <row r="10" spans="1:11" ht="31.5" customHeight="1">
      <c r="A10" s="7" t="s">
        <v>111</v>
      </c>
      <c r="B10" s="7" t="s">
        <v>112</v>
      </c>
      <c r="C10" s="7" t="s">
        <v>113</v>
      </c>
      <c r="D10" s="7" t="s">
        <v>114</v>
      </c>
      <c r="E10" s="7" t="s">
        <v>115</v>
      </c>
      <c r="F10" s="7" t="s">
        <v>70</v>
      </c>
      <c r="G10" s="7" t="s">
        <v>109</v>
      </c>
      <c r="H10" s="7" t="s">
        <v>77</v>
      </c>
      <c r="I10" s="7" t="s">
        <v>116</v>
      </c>
      <c r="J10" s="7" t="s">
        <v>79</v>
      </c>
      <c r="K10" s="7" t="s">
        <v>117</v>
      </c>
    </row>
    <row r="11" spans="1:11" ht="18.75" customHeight="1">
      <c r="A11" s="14" t="s">
        <v>118</v>
      </c>
      <c r="B11" s="14" t="s">
        <v>119</v>
      </c>
      <c r="C11" s="14" t="s">
        <v>120</v>
      </c>
      <c r="D11" s="14" t="s">
        <v>121</v>
      </c>
      <c r="E11" s="14" t="s">
        <v>122</v>
      </c>
      <c r="F11" s="14" t="s">
        <v>70</v>
      </c>
      <c r="G11" s="14" t="s">
        <v>109</v>
      </c>
      <c r="H11" s="14" t="s">
        <v>77</v>
      </c>
      <c r="I11" s="14" t="s">
        <v>78</v>
      </c>
      <c r="J11" s="14" t="s">
        <v>79</v>
      </c>
      <c r="K11" s="14" t="s">
        <v>123</v>
      </c>
    </row>
    <row r="12" spans="1:11" ht="18.75" customHeight="1">
      <c r="A12" s="7" t="s">
        <v>124</v>
      </c>
      <c r="B12" s="7" t="s">
        <v>119</v>
      </c>
      <c r="C12" s="7" t="s">
        <v>125</v>
      </c>
      <c r="D12" s="7" t="s">
        <v>121</v>
      </c>
      <c r="E12" s="7" t="s">
        <v>126</v>
      </c>
      <c r="F12" s="7" t="s">
        <v>70</v>
      </c>
      <c r="G12" s="7" t="s">
        <v>109</v>
      </c>
      <c r="H12" s="7" t="s">
        <v>77</v>
      </c>
      <c r="I12" s="7" t="s">
        <v>78</v>
      </c>
      <c r="J12" s="7" t="s">
        <v>79</v>
      </c>
      <c r="K12" s="7" t="s">
        <v>127</v>
      </c>
    </row>
    <row r="13" spans="1:11" ht="28.5" customHeight="1">
      <c r="A13" s="14" t="s">
        <v>128</v>
      </c>
      <c r="B13" s="14" t="s">
        <v>119</v>
      </c>
      <c r="C13" s="14" t="s">
        <v>129</v>
      </c>
      <c r="D13" s="14" t="s">
        <v>121</v>
      </c>
      <c r="E13" s="14" t="s">
        <v>130</v>
      </c>
      <c r="F13" s="14" t="s">
        <v>70</v>
      </c>
      <c r="G13" s="14" t="s">
        <v>109</v>
      </c>
      <c r="H13" s="14" t="s">
        <v>77</v>
      </c>
      <c r="I13" s="14" t="s">
        <v>78</v>
      </c>
      <c r="J13" s="14" t="s">
        <v>79</v>
      </c>
      <c r="K13" s="14" t="s">
        <v>131</v>
      </c>
    </row>
    <row r="14" spans="1:11" ht="18.75" customHeight="1">
      <c r="A14" s="7" t="s">
        <v>132</v>
      </c>
      <c r="B14" s="7" t="s">
        <v>119</v>
      </c>
      <c r="C14" s="7" t="s">
        <v>133</v>
      </c>
      <c r="D14" s="7" t="s">
        <v>121</v>
      </c>
      <c r="E14" s="7" t="s">
        <v>134</v>
      </c>
      <c r="F14" s="7" t="s">
        <v>70</v>
      </c>
      <c r="G14" s="7" t="s">
        <v>109</v>
      </c>
      <c r="H14" s="7" t="s">
        <v>77</v>
      </c>
      <c r="I14" s="7" t="s">
        <v>78</v>
      </c>
      <c r="J14" s="7" t="s">
        <v>75</v>
      </c>
      <c r="K14" s="7" t="s">
        <v>135</v>
      </c>
    </row>
    <row r="15" spans="1:11" ht="18.75" customHeight="1">
      <c r="A15" s="14" t="s">
        <v>136</v>
      </c>
      <c r="B15" s="14" t="s">
        <v>119</v>
      </c>
      <c r="C15" s="14" t="s">
        <v>137</v>
      </c>
      <c r="D15" s="14" t="s">
        <v>121</v>
      </c>
      <c r="E15" s="14" t="s">
        <v>138</v>
      </c>
      <c r="F15" s="14" t="s">
        <v>70</v>
      </c>
      <c r="G15" s="14" t="s">
        <v>109</v>
      </c>
      <c r="H15" s="14" t="s">
        <v>77</v>
      </c>
      <c r="I15" s="14" t="s">
        <v>78</v>
      </c>
      <c r="J15" s="14" t="s">
        <v>75</v>
      </c>
      <c r="K15" s="14" t="s">
        <v>139</v>
      </c>
    </row>
    <row r="16" spans="1:11" ht="18.75" customHeight="1">
      <c r="A16" s="7" t="s">
        <v>140</v>
      </c>
      <c r="B16" s="7" t="s">
        <v>141</v>
      </c>
      <c r="C16" s="7" t="s">
        <v>142</v>
      </c>
      <c r="D16" s="7" t="s">
        <v>143</v>
      </c>
      <c r="E16" s="7" t="s">
        <v>144</v>
      </c>
      <c r="F16" s="7" t="s">
        <v>75</v>
      </c>
      <c r="G16" s="7" t="s">
        <v>76</v>
      </c>
      <c r="H16" s="7" t="s">
        <v>77</v>
      </c>
      <c r="I16" s="7" t="s">
        <v>78</v>
      </c>
      <c r="J16" s="7" t="s">
        <v>79</v>
      </c>
      <c r="K16" s="7" t="s">
        <v>145</v>
      </c>
    </row>
    <row r="17" spans="1:11" ht="18.75" customHeight="1">
      <c r="A17" s="14" t="s">
        <v>146</v>
      </c>
      <c r="B17" s="14" t="s">
        <v>141</v>
      </c>
      <c r="C17" s="14" t="s">
        <v>147</v>
      </c>
      <c r="D17" s="14" t="s">
        <v>148</v>
      </c>
      <c r="E17" s="14" t="s">
        <v>149</v>
      </c>
      <c r="F17" s="14" t="s">
        <v>140</v>
      </c>
      <c r="G17" s="14" t="s">
        <v>76</v>
      </c>
      <c r="H17" s="14" t="s">
        <v>77</v>
      </c>
      <c r="I17" s="14" t="s">
        <v>85</v>
      </c>
      <c r="J17" s="14" t="s">
        <v>79</v>
      </c>
      <c r="K17" s="14" t="s">
        <v>150</v>
      </c>
    </row>
    <row r="18" spans="1:11" ht="18.75" customHeight="1">
      <c r="A18" s="7" t="s">
        <v>151</v>
      </c>
      <c r="B18" s="7" t="s">
        <v>141</v>
      </c>
      <c r="C18" s="7" t="s">
        <v>152</v>
      </c>
      <c r="D18" s="7" t="s">
        <v>153</v>
      </c>
      <c r="E18" s="7" t="s">
        <v>154</v>
      </c>
      <c r="F18" s="7" t="s">
        <v>155</v>
      </c>
      <c r="G18" s="7" t="s">
        <v>109</v>
      </c>
      <c r="H18" s="7" t="s">
        <v>77</v>
      </c>
      <c r="I18" s="7" t="s">
        <v>156</v>
      </c>
      <c r="J18" s="7" t="s">
        <v>79</v>
      </c>
      <c r="K18" s="7" t="s">
        <v>157</v>
      </c>
    </row>
    <row r="19" spans="1:11">
      <c r="A19" s="14" t="s">
        <v>158</v>
      </c>
      <c r="B19" s="14" t="s">
        <v>141</v>
      </c>
      <c r="C19" s="14" t="s">
        <v>159</v>
      </c>
      <c r="D19" s="14" t="s">
        <v>160</v>
      </c>
      <c r="E19" s="14" t="s">
        <v>161</v>
      </c>
      <c r="F19" s="14" t="s">
        <v>151</v>
      </c>
      <c r="G19" s="14" t="s">
        <v>109</v>
      </c>
      <c r="H19" s="14" t="s">
        <v>162</v>
      </c>
      <c r="I19" s="14" t="s">
        <v>163</v>
      </c>
      <c r="J19" s="14" t="s">
        <v>75</v>
      </c>
      <c r="K19" s="14" t="s">
        <v>164</v>
      </c>
    </row>
    <row r="20" spans="1:11" ht="18.75" customHeight="1">
      <c r="A20" s="7" t="s">
        <v>165</v>
      </c>
      <c r="B20" s="7" t="s">
        <v>166</v>
      </c>
      <c r="C20" s="7" t="s">
        <v>167</v>
      </c>
      <c r="D20" s="7" t="s">
        <v>168</v>
      </c>
      <c r="E20" s="7" t="s">
        <v>169</v>
      </c>
      <c r="F20" s="7" t="s">
        <v>151</v>
      </c>
      <c r="G20" s="7" t="s">
        <v>109</v>
      </c>
      <c r="H20" s="7" t="s">
        <v>77</v>
      </c>
      <c r="I20" s="7" t="s">
        <v>170</v>
      </c>
      <c r="J20" s="7" t="s">
        <v>79</v>
      </c>
      <c r="K20" s="7" t="s">
        <v>171</v>
      </c>
    </row>
    <row r="21" spans="1:11" ht="18.75" customHeight="1">
      <c r="A21" s="14" t="s">
        <v>172</v>
      </c>
      <c r="B21" s="14" t="s">
        <v>166</v>
      </c>
      <c r="C21" s="14" t="s">
        <v>173</v>
      </c>
      <c r="D21" s="14" t="s">
        <v>174</v>
      </c>
      <c r="E21" s="14" t="s">
        <v>175</v>
      </c>
      <c r="F21" s="14" t="s">
        <v>165</v>
      </c>
      <c r="G21" s="14" t="s">
        <v>109</v>
      </c>
      <c r="H21" s="14" t="s">
        <v>176</v>
      </c>
      <c r="I21" s="14" t="s">
        <v>177</v>
      </c>
      <c r="J21" s="14" t="s">
        <v>75</v>
      </c>
      <c r="K21" s="14" t="s">
        <v>178</v>
      </c>
    </row>
    <row r="22" spans="1:11" ht="18.75" customHeight="1">
      <c r="A22" s="7" t="s">
        <v>179</v>
      </c>
      <c r="B22" s="7" t="s">
        <v>180</v>
      </c>
      <c r="C22" s="7" t="s">
        <v>181</v>
      </c>
      <c r="D22" s="7" t="s">
        <v>182</v>
      </c>
      <c r="E22" s="7" t="s">
        <v>183</v>
      </c>
      <c r="F22" s="7" t="s">
        <v>132</v>
      </c>
      <c r="G22" s="7" t="s">
        <v>109</v>
      </c>
      <c r="H22" s="7" t="s">
        <v>184</v>
      </c>
      <c r="I22" s="7" t="s">
        <v>185</v>
      </c>
      <c r="J22" s="7" t="s">
        <v>75</v>
      </c>
      <c r="K22" s="7" t="s">
        <v>186</v>
      </c>
    </row>
    <row r="24" spans="3:3" ht="14.25">
      <c r="C24" s="15" t="s">
        <v>187</v>
      </c>
    </row>
  </sheetData>
  <autoFilter ref="A3:K22">
    <extLst/>
  </autoFilter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M32"/>
  <sheetViews>
    <sheetView showGridLines="1" workbookViewId="0">
      <pane xSplit="2" ySplit="3" topLeftCell="C4" activePane="bottomRight" state="frozen"/>
    </sheetView>
  </sheetViews>
  <sheetFormatPr defaultColWidth="9" defaultRowHeight="13.5"/>
  <cols>
    <col min="1" max="1" width="6" customWidth="1"/>
    <col min="2" max="2" width="9" customWidth="1"/>
    <col min="3" max="4" width="24" customWidth="1"/>
    <col min="5" max="5" width="7" customWidth="1"/>
    <col min="6" max="6" width="30" customWidth="1"/>
    <col min="7" max="7" width="20" customWidth="1"/>
    <col min="8" max="8" width="58" customWidth="1"/>
    <col min="9" max="10" width="11" customWidth="1"/>
    <col min="11" max="11" width="7" customWidth="1"/>
    <col min="12" max="12" width="8" customWidth="1"/>
    <col min="13" max="13" width="40" customWidth="1"/>
  </cols>
  <sheetData>
    <row r="1" spans="1:1" ht="24" customHeight="1">
      <c r="A1" s="4" t="s">
        <v>188</v>
      </c>
    </row>
    <row r="3" spans="1:13" ht="30" customHeight="1">
      <c r="A3" s="10" t="s">
        <v>59</v>
      </c>
      <c r="B3" s="10" t="s">
        <v>189</v>
      </c>
      <c r="C3" s="10" t="s">
        <v>190</v>
      </c>
      <c r="D3" s="10" t="s">
        <v>191</v>
      </c>
      <c r="E3" s="10" t="s">
        <v>192</v>
      </c>
      <c r="F3" s="10" t="s">
        <v>193</v>
      </c>
      <c r="G3" s="10" t="s">
        <v>194</v>
      </c>
      <c r="H3" s="10" t="s">
        <v>195</v>
      </c>
      <c r="I3" s="10" t="s">
        <v>64</v>
      </c>
      <c r="J3" s="10" t="s">
        <v>196</v>
      </c>
      <c r="K3" s="10" t="s">
        <v>197</v>
      </c>
      <c r="L3" s="10" t="s">
        <v>198</v>
      </c>
      <c r="M3" s="10" t="s">
        <v>69</v>
      </c>
    </row>
    <row r="4" spans="1:13" ht="18.75" customHeight="1">
      <c r="A4" s="7" t="s">
        <v>70</v>
      </c>
      <c r="B4" s="7" t="s">
        <v>199</v>
      </c>
      <c r="C4" s="7" t="s">
        <v>200</v>
      </c>
      <c r="D4" s="7" t="s">
        <v>201</v>
      </c>
      <c r="E4" s="7">
        <v>1</v>
      </c>
      <c r="F4" s="7" t="s">
        <v>202</v>
      </c>
      <c r="G4" s="7" t="s">
        <v>203</v>
      </c>
      <c r="H4" s="7" t="s">
        <v>204</v>
      </c>
      <c r="I4" s="7" t="s">
        <v>75</v>
      </c>
      <c r="J4" s="7" t="s">
        <v>205</v>
      </c>
      <c r="K4" s="7" t="s">
        <v>206</v>
      </c>
      <c r="L4" s="7" t="s">
        <v>207</v>
      </c>
      <c r="M4" s="7" t="s">
        <v>208</v>
      </c>
    </row>
    <row r="5" spans="1:13" ht="18.75" customHeight="1">
      <c r="A5" s="14" t="s">
        <v>81</v>
      </c>
      <c r="B5" s="14" t="s">
        <v>199</v>
      </c>
      <c r="C5" s="14" t="s">
        <v>209</v>
      </c>
      <c r="D5" s="14" t="s">
        <v>210</v>
      </c>
      <c r="E5" s="14">
        <v>2</v>
      </c>
      <c r="F5" s="14" t="s">
        <v>211</v>
      </c>
      <c r="G5" s="14" t="s">
        <v>212</v>
      </c>
      <c r="H5" s="14" t="s">
        <v>213</v>
      </c>
      <c r="I5" s="14" t="s">
        <v>70</v>
      </c>
      <c r="J5" s="14" t="s">
        <v>205</v>
      </c>
      <c r="K5" s="14" t="s">
        <v>206</v>
      </c>
      <c r="L5" s="14" t="s">
        <v>207</v>
      </c>
      <c r="M5" s="14" t="s">
        <v>214</v>
      </c>
    </row>
    <row r="6" spans="1:13" ht="18.75" customHeight="1">
      <c r="A6" s="7" t="s">
        <v>87</v>
      </c>
      <c r="B6" s="7" t="s">
        <v>199</v>
      </c>
      <c r="C6" s="7" t="s">
        <v>215</v>
      </c>
      <c r="D6" s="7" t="s">
        <v>216</v>
      </c>
      <c r="E6" s="7">
        <v>4</v>
      </c>
      <c r="F6" s="7" t="s">
        <v>217</v>
      </c>
      <c r="G6" s="7" t="s">
        <v>218</v>
      </c>
      <c r="H6" s="7" t="s">
        <v>219</v>
      </c>
      <c r="I6" s="7" t="s">
        <v>70</v>
      </c>
      <c r="J6" s="7" t="s">
        <v>205</v>
      </c>
      <c r="K6" s="7" t="s">
        <v>206</v>
      </c>
      <c r="L6" s="7" t="s">
        <v>207</v>
      </c>
      <c r="M6" s="7" t="s">
        <v>220</v>
      </c>
    </row>
    <row r="7" spans="1:13" ht="18.75" customHeight="1">
      <c r="A7" s="14" t="s">
        <v>93</v>
      </c>
      <c r="B7" s="14" t="s">
        <v>199</v>
      </c>
      <c r="C7" s="14" t="s">
        <v>221</v>
      </c>
      <c r="D7" s="14" t="s">
        <v>222</v>
      </c>
      <c r="E7" s="14">
        <v>1</v>
      </c>
      <c r="F7" s="14" t="s">
        <v>223</v>
      </c>
      <c r="G7" s="14" t="s">
        <v>218</v>
      </c>
      <c r="H7" s="14" t="s">
        <v>224</v>
      </c>
      <c r="I7" s="14" t="s">
        <v>70</v>
      </c>
      <c r="J7" s="14" t="s">
        <v>205</v>
      </c>
      <c r="K7" s="14" t="s">
        <v>206</v>
      </c>
      <c r="L7" s="14" t="s">
        <v>207</v>
      </c>
      <c r="M7" s="14" t="s">
        <v>225</v>
      </c>
    </row>
    <row r="8" spans="1:13" ht="18.75" customHeight="1">
      <c r="A8" s="7" t="s">
        <v>100</v>
      </c>
      <c r="B8" s="7" t="s">
        <v>199</v>
      </c>
      <c r="C8" s="7" t="s">
        <v>226</v>
      </c>
      <c r="D8" s="7" t="s">
        <v>227</v>
      </c>
      <c r="E8" s="7">
        <v>4</v>
      </c>
      <c r="F8" s="7" t="s">
        <v>228</v>
      </c>
      <c r="G8" s="7" t="s">
        <v>222</v>
      </c>
      <c r="H8" s="7" t="s">
        <v>229</v>
      </c>
      <c r="I8" s="7" t="s">
        <v>93</v>
      </c>
      <c r="J8" s="7" t="s">
        <v>205</v>
      </c>
      <c r="K8" s="7" t="s">
        <v>206</v>
      </c>
      <c r="L8" s="7" t="s">
        <v>207</v>
      </c>
      <c r="M8" s="7" t="s">
        <v>230</v>
      </c>
    </row>
    <row r="9" spans="1:13" ht="18.75" customHeight="1">
      <c r="A9" s="14" t="s">
        <v>105</v>
      </c>
      <c r="B9" s="14" t="s">
        <v>231</v>
      </c>
      <c r="C9" s="14" t="s">
        <v>232</v>
      </c>
      <c r="D9" s="14" t="s">
        <v>233</v>
      </c>
      <c r="E9" s="14">
        <v>1</v>
      </c>
      <c r="F9" s="14" t="s">
        <v>234</v>
      </c>
      <c r="G9" s="14" t="s">
        <v>218</v>
      </c>
      <c r="H9" s="14" t="s">
        <v>235</v>
      </c>
      <c r="I9" s="14" t="s">
        <v>236</v>
      </c>
      <c r="J9" s="14" t="s">
        <v>205</v>
      </c>
      <c r="K9" s="14" t="s">
        <v>237</v>
      </c>
      <c r="L9" s="14" t="s">
        <v>207</v>
      </c>
      <c r="M9" s="14" t="s">
        <v>238</v>
      </c>
    </row>
    <row r="10" spans="1:13" ht="18.75" customHeight="1">
      <c r="A10" s="7" t="s">
        <v>111</v>
      </c>
      <c r="B10" s="7" t="s">
        <v>231</v>
      </c>
      <c r="C10" s="7" t="s">
        <v>239</v>
      </c>
      <c r="D10" s="7" t="s">
        <v>240</v>
      </c>
      <c r="E10" s="7">
        <v>1</v>
      </c>
      <c r="F10" s="7" t="s">
        <v>241</v>
      </c>
      <c r="G10" s="7" t="s">
        <v>242</v>
      </c>
      <c r="H10" s="7" t="s">
        <v>243</v>
      </c>
      <c r="I10" s="7" t="s">
        <v>105</v>
      </c>
      <c r="J10" s="7" t="s">
        <v>174</v>
      </c>
      <c r="K10" s="7" t="s">
        <v>237</v>
      </c>
      <c r="L10" s="7" t="s">
        <v>207</v>
      </c>
      <c r="M10" s="7" t="s">
        <v>244</v>
      </c>
    </row>
    <row r="11" spans="1:13" ht="18.75" customHeight="1">
      <c r="A11" s="14" t="s">
        <v>118</v>
      </c>
      <c r="B11" s="14" t="s">
        <v>231</v>
      </c>
      <c r="C11" s="14" t="s">
        <v>245</v>
      </c>
      <c r="D11" s="14" t="s">
        <v>246</v>
      </c>
      <c r="E11" s="14">
        <v>1</v>
      </c>
      <c r="F11" s="14" t="s">
        <v>75</v>
      </c>
      <c r="G11" s="14" t="s">
        <v>247</v>
      </c>
      <c r="H11" s="14" t="s">
        <v>248</v>
      </c>
      <c r="I11" s="14" t="s">
        <v>249</v>
      </c>
      <c r="J11" s="14" t="s">
        <v>174</v>
      </c>
      <c r="K11" s="14" t="s">
        <v>206</v>
      </c>
      <c r="L11" s="14" t="s">
        <v>207</v>
      </c>
      <c r="M11" s="14" t="s">
        <v>250</v>
      </c>
    </row>
    <row r="12" spans="1:13" ht="18.75" customHeight="1">
      <c r="A12" s="7" t="s">
        <v>124</v>
      </c>
      <c r="B12" s="7" t="s">
        <v>231</v>
      </c>
      <c r="C12" s="7" t="s">
        <v>251</v>
      </c>
      <c r="D12" s="7" t="s">
        <v>246</v>
      </c>
      <c r="E12" s="7">
        <v>1</v>
      </c>
      <c r="F12" s="7" t="s">
        <v>252</v>
      </c>
      <c r="G12" s="7" t="s">
        <v>247</v>
      </c>
      <c r="H12" s="7" t="s">
        <v>253</v>
      </c>
      <c r="I12" s="7" t="s">
        <v>254</v>
      </c>
      <c r="J12" s="7" t="s">
        <v>174</v>
      </c>
      <c r="K12" s="7" t="s">
        <v>237</v>
      </c>
      <c r="L12" s="7" t="s">
        <v>207</v>
      </c>
      <c r="M12" s="7" t="s">
        <v>255</v>
      </c>
    </row>
    <row r="13" spans="1:13" ht="18.75" customHeight="1">
      <c r="A13" s="14" t="s">
        <v>128</v>
      </c>
      <c r="B13" s="14" t="s">
        <v>231</v>
      </c>
      <c r="C13" s="14" t="s">
        <v>256</v>
      </c>
      <c r="D13" s="14" t="s">
        <v>257</v>
      </c>
      <c r="E13" s="14">
        <v>1</v>
      </c>
      <c r="F13" s="14" t="s">
        <v>258</v>
      </c>
      <c r="G13" s="14" t="s">
        <v>247</v>
      </c>
      <c r="H13" s="14" t="s">
        <v>259</v>
      </c>
      <c r="I13" s="14" t="s">
        <v>260</v>
      </c>
      <c r="J13" s="14" t="s">
        <v>174</v>
      </c>
      <c r="K13" s="14" t="s">
        <v>261</v>
      </c>
      <c r="L13" s="14" t="s">
        <v>207</v>
      </c>
      <c r="M13" s="14" t="s">
        <v>262</v>
      </c>
    </row>
    <row r="14" spans="1:13" ht="18.75" customHeight="1">
      <c r="A14" s="7" t="s">
        <v>132</v>
      </c>
      <c r="B14" s="7" t="s">
        <v>263</v>
      </c>
      <c r="C14" s="7" t="s">
        <v>264</v>
      </c>
      <c r="D14" s="7" t="s">
        <v>265</v>
      </c>
      <c r="E14" s="7">
        <v>1</v>
      </c>
      <c r="F14" s="7" t="s">
        <v>266</v>
      </c>
      <c r="G14" s="7" t="s">
        <v>222</v>
      </c>
      <c r="H14" s="7" t="s">
        <v>267</v>
      </c>
      <c r="I14" s="7" t="s">
        <v>268</v>
      </c>
      <c r="J14" s="7" t="s">
        <v>174</v>
      </c>
      <c r="K14" s="7" t="s">
        <v>261</v>
      </c>
      <c r="L14" s="7" t="s">
        <v>207</v>
      </c>
      <c r="M14" s="7" t="s">
        <v>269</v>
      </c>
    </row>
    <row r="15" spans="1:13" ht="18.75" customHeight="1">
      <c r="A15" s="14" t="s">
        <v>136</v>
      </c>
      <c r="B15" s="14" t="s">
        <v>263</v>
      </c>
      <c r="C15" s="14" t="s">
        <v>270</v>
      </c>
      <c r="D15" s="14" t="s">
        <v>271</v>
      </c>
      <c r="E15" s="14" t="s">
        <v>272</v>
      </c>
      <c r="F15" s="14" t="s">
        <v>273</v>
      </c>
      <c r="G15" s="14" t="s">
        <v>218</v>
      </c>
      <c r="H15" s="32" t="s">
        <v>865</v>
      </c>
      <c r="I15" s="14" t="s">
        <v>132</v>
      </c>
      <c r="J15" s="14" t="s">
        <v>174</v>
      </c>
      <c r="K15" s="14" t="s">
        <v>261</v>
      </c>
      <c r="L15" s="14" t="s">
        <v>207</v>
      </c>
      <c r="M15" s="14" t="s">
        <v>275</v>
      </c>
    </row>
    <row r="16" spans="1:13" ht="18.75" customHeight="1">
      <c r="A16" s="7" t="s">
        <v>140</v>
      </c>
      <c r="B16" s="7" t="s">
        <v>263</v>
      </c>
      <c r="C16" s="7" t="s">
        <v>276</v>
      </c>
      <c r="D16" s="7" t="s">
        <v>277</v>
      </c>
      <c r="E16" s="7">
        <v>1</v>
      </c>
      <c r="F16" s="7" t="s">
        <v>278</v>
      </c>
      <c r="G16" s="7" t="s">
        <v>203</v>
      </c>
      <c r="H16" s="7" t="s">
        <v>279</v>
      </c>
      <c r="I16" s="7" t="s">
        <v>280</v>
      </c>
      <c r="J16" s="7" t="s">
        <v>174</v>
      </c>
      <c r="K16" s="7" t="s">
        <v>261</v>
      </c>
      <c r="L16" s="7" t="s">
        <v>281</v>
      </c>
      <c r="M16" s="7" t="s">
        <v>282</v>
      </c>
    </row>
    <row r="17" spans="1:13" ht="18.75" customHeight="1">
      <c r="A17" s="14" t="s">
        <v>146</v>
      </c>
      <c r="B17" s="14" t="s">
        <v>283</v>
      </c>
      <c r="C17" s="14" t="s">
        <v>284</v>
      </c>
      <c r="D17" s="14" t="s">
        <v>285</v>
      </c>
      <c r="E17" s="14">
        <v>1</v>
      </c>
      <c r="F17" s="14" t="s">
        <v>286</v>
      </c>
      <c r="G17" s="14" t="s">
        <v>287</v>
      </c>
      <c r="H17" s="14" t="s">
        <v>288</v>
      </c>
      <c r="I17" s="14" t="s">
        <v>289</v>
      </c>
      <c r="J17" s="14" t="s">
        <v>205</v>
      </c>
      <c r="K17" s="14" t="s">
        <v>206</v>
      </c>
      <c r="L17" s="14" t="s">
        <v>281</v>
      </c>
      <c r="M17" s="14" t="s">
        <v>290</v>
      </c>
    </row>
    <row r="18" spans="1:13" ht="18.75" customHeight="1">
      <c r="A18" s="7" t="s">
        <v>151</v>
      </c>
      <c r="B18" s="7" t="s">
        <v>283</v>
      </c>
      <c r="C18" s="7" t="s">
        <v>291</v>
      </c>
      <c r="D18" s="7" t="s">
        <v>75</v>
      </c>
      <c r="E18" s="7">
        <v>2</v>
      </c>
      <c r="F18" s="7" t="s">
        <v>292</v>
      </c>
      <c r="G18" s="7" t="s">
        <v>242</v>
      </c>
      <c r="H18" s="7" t="s">
        <v>293</v>
      </c>
      <c r="I18" s="7" t="s">
        <v>146</v>
      </c>
      <c r="J18" s="7" t="s">
        <v>174</v>
      </c>
      <c r="K18" s="7" t="s">
        <v>261</v>
      </c>
      <c r="L18" s="7" t="s">
        <v>281</v>
      </c>
      <c r="M18" s="7" t="s">
        <v>294</v>
      </c>
    </row>
    <row r="19" spans="1:13" ht="18.75" customHeight="1">
      <c r="A19" s="14" t="s">
        <v>158</v>
      </c>
      <c r="B19" s="14" t="s">
        <v>283</v>
      </c>
      <c r="C19" s="14" t="s">
        <v>295</v>
      </c>
      <c r="D19" s="14" t="s">
        <v>296</v>
      </c>
      <c r="E19" s="14">
        <v>1</v>
      </c>
      <c r="F19" s="14" t="s">
        <v>297</v>
      </c>
      <c r="G19" s="14" t="s">
        <v>242</v>
      </c>
      <c r="H19" s="14" t="s">
        <v>298</v>
      </c>
      <c r="I19" s="14" t="s">
        <v>146</v>
      </c>
      <c r="J19" s="14" t="s">
        <v>174</v>
      </c>
      <c r="K19" s="14" t="s">
        <v>261</v>
      </c>
      <c r="L19" s="14" t="s">
        <v>281</v>
      </c>
      <c r="M19" s="14" t="s">
        <v>299</v>
      </c>
    </row>
    <row r="20" spans="1:13" ht="18.75" customHeight="1">
      <c r="A20" s="7" t="s">
        <v>165</v>
      </c>
      <c r="B20" s="7" t="s">
        <v>300</v>
      </c>
      <c r="C20" s="7" t="s">
        <v>301</v>
      </c>
      <c r="D20" s="7" t="s">
        <v>302</v>
      </c>
      <c r="E20" s="7">
        <v>1</v>
      </c>
      <c r="F20" s="7" t="s">
        <v>303</v>
      </c>
      <c r="G20" s="7" t="s">
        <v>222</v>
      </c>
      <c r="H20" s="7" t="s">
        <v>304</v>
      </c>
      <c r="I20" s="7" t="s">
        <v>305</v>
      </c>
      <c r="J20" s="7" t="s">
        <v>174</v>
      </c>
      <c r="K20" s="7" t="s">
        <v>206</v>
      </c>
      <c r="L20" s="7" t="s">
        <v>281</v>
      </c>
      <c r="M20" s="7" t="s">
        <v>306</v>
      </c>
    </row>
    <row r="21" spans="1:13" ht="18.75" customHeight="1">
      <c r="A21" s="14" t="s">
        <v>172</v>
      </c>
      <c r="B21" s="14" t="s">
        <v>307</v>
      </c>
      <c r="C21" s="14" t="s">
        <v>308</v>
      </c>
      <c r="D21" s="14" t="s">
        <v>309</v>
      </c>
      <c r="E21" s="14">
        <v>1</v>
      </c>
      <c r="F21" s="14" t="s">
        <v>310</v>
      </c>
      <c r="G21" s="14" t="s">
        <v>242</v>
      </c>
      <c r="H21" s="14" t="s">
        <v>311</v>
      </c>
      <c r="I21" s="14" t="s">
        <v>289</v>
      </c>
      <c r="J21" s="14" t="s">
        <v>174</v>
      </c>
      <c r="K21" s="14" t="s">
        <v>206</v>
      </c>
      <c r="L21" s="14" t="s">
        <v>281</v>
      </c>
      <c r="M21" s="14" t="s">
        <v>312</v>
      </c>
    </row>
    <row r="22" spans="1:13" ht="18.75" customHeight="1">
      <c r="A22" s="7" t="s">
        <v>179</v>
      </c>
      <c r="B22" s="7" t="s">
        <v>313</v>
      </c>
      <c r="C22" s="7" t="s">
        <v>314</v>
      </c>
      <c r="D22" s="7" t="s">
        <v>315</v>
      </c>
      <c r="E22" s="7">
        <v>1</v>
      </c>
      <c r="F22" s="7" t="s">
        <v>316</v>
      </c>
      <c r="G22" s="7" t="s">
        <v>242</v>
      </c>
      <c r="H22" s="7" t="s">
        <v>317</v>
      </c>
      <c r="I22" s="7" t="s">
        <v>280</v>
      </c>
      <c r="J22" s="7" t="s">
        <v>174</v>
      </c>
      <c r="K22" s="7" t="s">
        <v>206</v>
      </c>
      <c r="L22" s="7" t="s">
        <v>281</v>
      </c>
      <c r="M22" s="7" t="s">
        <v>318</v>
      </c>
    </row>
    <row r="23" spans="1:13" ht="18.75" customHeight="1">
      <c r="A23" s="14" t="s">
        <v>319</v>
      </c>
      <c r="B23" s="14" t="s">
        <v>320</v>
      </c>
      <c r="C23" s="14" t="s">
        <v>321</v>
      </c>
      <c r="D23" s="14" t="s">
        <v>322</v>
      </c>
      <c r="E23" s="14">
        <v>1</v>
      </c>
      <c r="F23" s="14" t="s">
        <v>323</v>
      </c>
      <c r="G23" s="14" t="s">
        <v>242</v>
      </c>
      <c r="H23" s="14" t="s">
        <v>324</v>
      </c>
      <c r="I23" s="14" t="s">
        <v>325</v>
      </c>
      <c r="J23" s="14" t="s">
        <v>174</v>
      </c>
      <c r="K23" s="14" t="s">
        <v>261</v>
      </c>
      <c r="L23" s="14" t="s">
        <v>281</v>
      </c>
      <c r="M23" s="14" t="s">
        <v>326</v>
      </c>
    </row>
    <row r="24" spans="1:13" ht="18.75" customHeight="1">
      <c r="A24" s="7" t="s">
        <v>327</v>
      </c>
      <c r="B24" s="7" t="s">
        <v>320</v>
      </c>
      <c r="C24" s="7" t="s">
        <v>328</v>
      </c>
      <c r="D24" s="7" t="s">
        <v>75</v>
      </c>
      <c r="E24" s="7" t="s">
        <v>75</v>
      </c>
      <c r="F24" s="7" t="s">
        <v>329</v>
      </c>
      <c r="G24" s="7" t="s">
        <v>242</v>
      </c>
      <c r="H24" s="7" t="s">
        <v>330</v>
      </c>
      <c r="I24" s="7" t="s">
        <v>331</v>
      </c>
      <c r="J24" s="7" t="s">
        <v>174</v>
      </c>
      <c r="K24" s="7" t="s">
        <v>237</v>
      </c>
      <c r="L24" s="7" t="s">
        <v>207</v>
      </c>
      <c r="M24" s="7" t="s">
        <v>332</v>
      </c>
    </row>
    <row r="25" spans="1:13" ht="18.75" customHeight="1">
      <c r="A25" s="14" t="s">
        <v>333</v>
      </c>
      <c r="B25" s="14" t="s">
        <v>334</v>
      </c>
      <c r="C25" s="14" t="s">
        <v>335</v>
      </c>
      <c r="D25" s="14" t="s">
        <v>336</v>
      </c>
      <c r="E25" s="14">
        <v>1</v>
      </c>
      <c r="F25" s="14" t="s">
        <v>337</v>
      </c>
      <c r="G25" s="14" t="s">
        <v>242</v>
      </c>
      <c r="H25" s="14" t="s">
        <v>338</v>
      </c>
      <c r="I25" s="14" t="s">
        <v>132</v>
      </c>
      <c r="J25" s="14" t="s">
        <v>174</v>
      </c>
      <c r="K25" s="14" t="s">
        <v>339</v>
      </c>
      <c r="L25" s="14" t="s">
        <v>207</v>
      </c>
      <c r="M25" s="14" t="s">
        <v>340</v>
      </c>
    </row>
    <row r="26" spans="1:13" ht="18.75" customHeight="1">
      <c r="A26" s="7" t="s">
        <v>341</v>
      </c>
      <c r="B26" s="7" t="s">
        <v>334</v>
      </c>
      <c r="C26" s="7" t="s">
        <v>342</v>
      </c>
      <c r="D26" s="7" t="s">
        <v>336</v>
      </c>
      <c r="E26" s="7">
        <v>1</v>
      </c>
      <c r="F26" s="7" t="s">
        <v>343</v>
      </c>
      <c r="G26" s="7" t="s">
        <v>242</v>
      </c>
      <c r="H26" s="7" t="s">
        <v>344</v>
      </c>
      <c r="I26" s="7" t="s">
        <v>132</v>
      </c>
      <c r="J26" s="7" t="s">
        <v>174</v>
      </c>
      <c r="K26" s="7" t="s">
        <v>339</v>
      </c>
      <c r="L26" s="7" t="s">
        <v>207</v>
      </c>
      <c r="M26" s="7" t="s">
        <v>345</v>
      </c>
    </row>
    <row r="27" spans="1:13" ht="18.75" customHeight="1">
      <c r="A27" s="14" t="s">
        <v>346</v>
      </c>
      <c r="B27" s="14" t="s">
        <v>334</v>
      </c>
      <c r="C27" s="14" t="s">
        <v>347</v>
      </c>
      <c r="D27" s="14" t="s">
        <v>336</v>
      </c>
      <c r="E27" s="14">
        <v>1</v>
      </c>
      <c r="F27" s="14" t="s">
        <v>75</v>
      </c>
      <c r="G27" s="14" t="s">
        <v>348</v>
      </c>
      <c r="H27" s="14" t="s">
        <v>349</v>
      </c>
      <c r="I27" s="14" t="s">
        <v>350</v>
      </c>
      <c r="J27" s="14" t="s">
        <v>174</v>
      </c>
      <c r="K27" s="14" t="s">
        <v>339</v>
      </c>
      <c r="L27" s="14" t="s">
        <v>207</v>
      </c>
      <c r="M27" s="14" t="s">
        <v>351</v>
      </c>
    </row>
    <row r="28" spans="1:13" ht="18.75" customHeight="1">
      <c r="A28" s="7" t="s">
        <v>352</v>
      </c>
      <c r="B28" s="7" t="s">
        <v>334</v>
      </c>
      <c r="C28" s="7" t="s">
        <v>353</v>
      </c>
      <c r="D28" s="7" t="s">
        <v>354</v>
      </c>
      <c r="E28" s="7">
        <v>1</v>
      </c>
      <c r="F28" s="7" t="s">
        <v>75</v>
      </c>
      <c r="G28" s="7" t="s">
        <v>242</v>
      </c>
      <c r="H28" s="7" t="s">
        <v>355</v>
      </c>
      <c r="I28" s="7" t="s">
        <v>356</v>
      </c>
      <c r="J28" s="7" t="s">
        <v>174</v>
      </c>
      <c r="K28" s="7" t="s">
        <v>206</v>
      </c>
      <c r="L28" s="7" t="s">
        <v>207</v>
      </c>
      <c r="M28" s="7" t="s">
        <v>357</v>
      </c>
    </row>
    <row r="29" spans="1:13" ht="18.75" customHeight="1">
      <c r="A29" s="14" t="s">
        <v>358</v>
      </c>
      <c r="B29" s="14" t="s">
        <v>359</v>
      </c>
      <c r="C29" s="14" t="s">
        <v>360</v>
      </c>
      <c r="D29" s="14" t="s">
        <v>75</v>
      </c>
      <c r="E29" s="14">
        <v>1</v>
      </c>
      <c r="F29" s="14" t="s">
        <v>361</v>
      </c>
      <c r="G29" s="14" t="s">
        <v>242</v>
      </c>
      <c r="H29" s="14" t="s">
        <v>362</v>
      </c>
      <c r="I29" s="14" t="s">
        <v>363</v>
      </c>
      <c r="J29" s="14" t="s">
        <v>364</v>
      </c>
      <c r="K29" s="14" t="s">
        <v>261</v>
      </c>
      <c r="L29" s="14" t="s">
        <v>281</v>
      </c>
      <c r="M29" s="14" t="s">
        <v>365</v>
      </c>
    </row>
    <row r="30" spans="1:13" ht="18.75" customHeight="1">
      <c r="A30" s="7" t="s">
        <v>366</v>
      </c>
      <c r="B30" s="7" t="s">
        <v>359</v>
      </c>
      <c r="C30" s="7" t="s">
        <v>367</v>
      </c>
      <c r="D30" s="7" t="s">
        <v>75</v>
      </c>
      <c r="E30" s="7">
        <v>1</v>
      </c>
      <c r="F30" s="7" t="s">
        <v>368</v>
      </c>
      <c r="G30" s="7" t="s">
        <v>218</v>
      </c>
      <c r="H30" s="7" t="s">
        <v>369</v>
      </c>
      <c r="I30" s="7" t="s">
        <v>358</v>
      </c>
      <c r="J30" s="7" t="s">
        <v>364</v>
      </c>
      <c r="K30" s="7" t="s">
        <v>237</v>
      </c>
      <c r="L30" s="7" t="s">
        <v>281</v>
      </c>
      <c r="M30" s="7" t="s">
        <v>370</v>
      </c>
    </row>
    <row r="31" spans="1:13" ht="18.75" customHeight="1">
      <c r="A31" s="14" t="s">
        <v>371</v>
      </c>
      <c r="B31" s="14" t="s">
        <v>359</v>
      </c>
      <c r="C31" s="14" t="s">
        <v>372</v>
      </c>
      <c r="D31" s="14" t="s">
        <v>75</v>
      </c>
      <c r="E31" s="14">
        <v>1</v>
      </c>
      <c r="F31" s="14" t="s">
        <v>373</v>
      </c>
      <c r="G31" s="14" t="s">
        <v>242</v>
      </c>
      <c r="H31" s="14" t="s">
        <v>374</v>
      </c>
      <c r="I31" s="14" t="s">
        <v>358</v>
      </c>
      <c r="J31" s="14" t="s">
        <v>364</v>
      </c>
      <c r="K31" s="14" t="s">
        <v>339</v>
      </c>
      <c r="L31" s="14" t="s">
        <v>281</v>
      </c>
      <c r="M31" s="14" t="s">
        <v>375</v>
      </c>
    </row>
    <row r="32" spans="1:13" ht="18.75" customHeight="1">
      <c r="A32" s="7" t="s">
        <v>376</v>
      </c>
      <c r="B32" s="7" t="s">
        <v>359</v>
      </c>
      <c r="C32" s="7" t="s">
        <v>377</v>
      </c>
      <c r="D32" s="7" t="s">
        <v>75</v>
      </c>
      <c r="E32" s="7">
        <v>1</v>
      </c>
      <c r="F32" s="7" t="s">
        <v>378</v>
      </c>
      <c r="G32" s="7" t="s">
        <v>242</v>
      </c>
      <c r="H32" s="7" t="s">
        <v>379</v>
      </c>
      <c r="I32" s="7" t="s">
        <v>380</v>
      </c>
      <c r="J32" s="7" t="s">
        <v>364</v>
      </c>
      <c r="K32" s="7" t="s">
        <v>261</v>
      </c>
      <c r="L32" s="7" t="s">
        <v>281</v>
      </c>
      <c r="M32" s="7" t="s">
        <v>381</v>
      </c>
    </row>
  </sheetData>
  <autoFilter ref="A3:M32">
    <extLst/>
  </autoFilter>
  <mergeCells count="1">
    <mergeCell ref="A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M23"/>
  <sheetViews>
    <sheetView showGridLines="1" workbookViewId="0">
      <pane xSplit="2" ySplit="3" topLeftCell="C4" activePane="bottomRight" state="frozen"/>
    </sheetView>
  </sheetViews>
  <sheetFormatPr defaultColWidth="9" defaultRowHeight="13.5"/>
  <cols>
    <col min="1" max="1" width="6" customWidth="1"/>
    <col min="2" max="2" width="9" customWidth="1"/>
    <col min="3" max="4" width="24" customWidth="1"/>
    <col min="5" max="5" width="7" customWidth="1"/>
    <col min="6" max="6" width="30" customWidth="1"/>
    <col min="7" max="7" width="20" customWidth="1"/>
    <col min="8" max="8" width="58" customWidth="1"/>
    <col min="9" max="9" width="12" customWidth="1"/>
    <col min="10" max="10" width="11" customWidth="1"/>
    <col min="11" max="11" width="7" customWidth="1"/>
    <col min="12" max="12" width="8" customWidth="1"/>
    <col min="13" max="13" width="40" customWidth="1"/>
  </cols>
  <sheetData>
    <row r="1" spans="1:1" ht="24" customHeight="1">
      <c r="A1" s="4" t="s">
        <v>382</v>
      </c>
    </row>
    <row r="3" spans="1:13" ht="30" customHeight="1">
      <c r="A3" s="10" t="s">
        <v>59</v>
      </c>
      <c r="B3" s="10" t="s">
        <v>189</v>
      </c>
      <c r="C3" s="10" t="s">
        <v>190</v>
      </c>
      <c r="D3" s="10" t="s">
        <v>191</v>
      </c>
      <c r="E3" s="10" t="s">
        <v>192</v>
      </c>
      <c r="F3" s="10" t="s">
        <v>193</v>
      </c>
      <c r="G3" s="10" t="s">
        <v>194</v>
      </c>
      <c r="H3" s="10" t="s">
        <v>195</v>
      </c>
      <c r="I3" s="10" t="s">
        <v>64</v>
      </c>
      <c r="J3" s="10" t="s">
        <v>196</v>
      </c>
      <c r="K3" s="10" t="s">
        <v>197</v>
      </c>
      <c r="L3" s="10" t="s">
        <v>198</v>
      </c>
      <c r="M3" s="10" t="s">
        <v>69</v>
      </c>
    </row>
    <row r="4" spans="1:13" ht="14.25">
      <c r="A4" s="7" t="s">
        <v>70</v>
      </c>
      <c r="B4" s="7" t="s">
        <v>199</v>
      </c>
      <c r="C4" s="7" t="s">
        <v>200</v>
      </c>
      <c r="D4" s="7" t="s">
        <v>383</v>
      </c>
      <c r="E4" s="7">
        <v>1</v>
      </c>
      <c r="F4" s="7" t="s">
        <v>384</v>
      </c>
      <c r="G4" s="7" t="s">
        <v>385</v>
      </c>
      <c r="H4" s="7" t="s">
        <v>386</v>
      </c>
      <c r="I4" s="7" t="s">
        <v>75</v>
      </c>
      <c r="J4" s="7" t="s">
        <v>205</v>
      </c>
      <c r="K4" s="7" t="s">
        <v>261</v>
      </c>
      <c r="L4" s="7" t="s">
        <v>207</v>
      </c>
      <c r="M4" s="7" t="s">
        <v>387</v>
      </c>
    </row>
    <row r="5" spans="1:13" ht="14.25">
      <c r="A5" s="14" t="s">
        <v>81</v>
      </c>
      <c r="B5" s="14" t="s">
        <v>199</v>
      </c>
      <c r="C5" s="14" t="s">
        <v>388</v>
      </c>
      <c r="D5" s="14" t="s">
        <v>216</v>
      </c>
      <c r="E5" s="14">
        <v>4</v>
      </c>
      <c r="F5" s="14" t="s">
        <v>389</v>
      </c>
      <c r="G5" s="14" t="s">
        <v>218</v>
      </c>
      <c r="H5" s="14" t="s">
        <v>390</v>
      </c>
      <c r="I5" s="14" t="s">
        <v>70</v>
      </c>
      <c r="J5" s="14" t="s">
        <v>205</v>
      </c>
      <c r="K5" s="14" t="s">
        <v>261</v>
      </c>
      <c r="L5" s="14" t="s">
        <v>207</v>
      </c>
      <c r="M5" s="14" t="s">
        <v>391</v>
      </c>
    </row>
    <row r="6" spans="1:13" ht="28.5">
      <c r="A6" s="7" t="s">
        <v>87</v>
      </c>
      <c r="B6" s="7" t="s">
        <v>199</v>
      </c>
      <c r="C6" s="7" t="s">
        <v>392</v>
      </c>
      <c r="D6" s="7" t="s">
        <v>393</v>
      </c>
      <c r="E6" s="7">
        <v>4</v>
      </c>
      <c r="F6" s="7" t="s">
        <v>394</v>
      </c>
      <c r="G6" s="7" t="s">
        <v>222</v>
      </c>
      <c r="H6" s="7" t="s">
        <v>395</v>
      </c>
      <c r="I6" s="7" t="s">
        <v>70</v>
      </c>
      <c r="J6" s="7" t="s">
        <v>205</v>
      </c>
      <c r="K6" s="7" t="s">
        <v>261</v>
      </c>
      <c r="L6" s="7" t="s">
        <v>207</v>
      </c>
      <c r="M6" s="7" t="s">
        <v>396</v>
      </c>
    </row>
    <row r="7" spans="1:13" ht="14.25">
      <c r="A7" s="14" t="s">
        <v>93</v>
      </c>
      <c r="B7" s="14" t="s">
        <v>231</v>
      </c>
      <c r="C7" s="14" t="s">
        <v>232</v>
      </c>
      <c r="D7" s="14" t="s">
        <v>233</v>
      </c>
      <c r="E7" s="14">
        <v>1</v>
      </c>
      <c r="F7" s="14" t="s">
        <v>397</v>
      </c>
      <c r="G7" s="14" t="s">
        <v>218</v>
      </c>
      <c r="H7" s="14" t="s">
        <v>398</v>
      </c>
      <c r="I7" s="14" t="s">
        <v>399</v>
      </c>
      <c r="J7" s="14" t="s">
        <v>205</v>
      </c>
      <c r="K7" s="14" t="s">
        <v>339</v>
      </c>
      <c r="L7" s="14" t="s">
        <v>207</v>
      </c>
      <c r="M7" s="14" t="s">
        <v>400</v>
      </c>
    </row>
    <row r="8" spans="1:13" ht="14.25">
      <c r="A8" s="7" t="s">
        <v>100</v>
      </c>
      <c r="B8" s="7" t="s">
        <v>231</v>
      </c>
      <c r="C8" s="7" t="s">
        <v>239</v>
      </c>
      <c r="D8" s="7" t="s">
        <v>240</v>
      </c>
      <c r="E8" s="7">
        <v>1</v>
      </c>
      <c r="F8" s="7" t="s">
        <v>401</v>
      </c>
      <c r="G8" s="7" t="s">
        <v>402</v>
      </c>
      <c r="H8" s="7" t="s">
        <v>403</v>
      </c>
      <c r="I8" s="7" t="s">
        <v>93</v>
      </c>
      <c r="J8" s="7" t="s">
        <v>174</v>
      </c>
      <c r="K8" s="7" t="s">
        <v>339</v>
      </c>
      <c r="L8" s="7" t="s">
        <v>207</v>
      </c>
      <c r="M8" s="7" t="s">
        <v>404</v>
      </c>
    </row>
    <row r="9" spans="1:13" ht="14.25">
      <c r="A9" s="14" t="s">
        <v>105</v>
      </c>
      <c r="B9" s="14" t="s">
        <v>231</v>
      </c>
      <c r="C9" s="14" t="s">
        <v>405</v>
      </c>
      <c r="D9" s="14" t="s">
        <v>277</v>
      </c>
      <c r="E9" s="14">
        <v>1</v>
      </c>
      <c r="F9" s="14" t="s">
        <v>406</v>
      </c>
      <c r="G9" s="14" t="s">
        <v>385</v>
      </c>
      <c r="H9" s="14" t="s">
        <v>407</v>
      </c>
      <c r="I9" s="14" t="s">
        <v>280</v>
      </c>
      <c r="J9" s="14" t="s">
        <v>174</v>
      </c>
      <c r="K9" s="14" t="s">
        <v>261</v>
      </c>
      <c r="L9" s="14" t="s">
        <v>281</v>
      </c>
      <c r="M9" s="14" t="s">
        <v>408</v>
      </c>
    </row>
    <row r="10" spans="1:13" ht="14.25">
      <c r="A10" s="7" t="s">
        <v>111</v>
      </c>
      <c r="B10" s="7" t="s">
        <v>263</v>
      </c>
      <c r="C10" s="7" t="s">
        <v>264</v>
      </c>
      <c r="D10" s="7" t="s">
        <v>265</v>
      </c>
      <c r="E10" s="7">
        <v>1</v>
      </c>
      <c r="F10" s="7" t="s">
        <v>409</v>
      </c>
      <c r="G10" s="7" t="s">
        <v>222</v>
      </c>
      <c r="H10" s="7" t="s">
        <v>410</v>
      </c>
      <c r="I10" s="7" t="s">
        <v>70</v>
      </c>
      <c r="J10" s="7" t="s">
        <v>174</v>
      </c>
      <c r="K10" s="7" t="s">
        <v>339</v>
      </c>
      <c r="L10" s="7" t="s">
        <v>207</v>
      </c>
      <c r="M10" s="7" t="s">
        <v>411</v>
      </c>
    </row>
    <row r="11" spans="1:13" ht="14.25">
      <c r="A11" s="14" t="s">
        <v>118</v>
      </c>
      <c r="B11" s="14" t="s">
        <v>263</v>
      </c>
      <c r="C11" s="14" t="s">
        <v>270</v>
      </c>
      <c r="D11" s="14" t="s">
        <v>271</v>
      </c>
      <c r="E11" s="14" t="s">
        <v>412</v>
      </c>
      <c r="F11" s="14" t="s">
        <v>413</v>
      </c>
      <c r="G11" s="14" t="s">
        <v>218</v>
      </c>
      <c r="H11" s="14" t="s">
        <v>414</v>
      </c>
      <c r="I11" s="14" t="s">
        <v>111</v>
      </c>
      <c r="J11" s="14" t="s">
        <v>174</v>
      </c>
      <c r="K11" s="14" t="s">
        <v>339</v>
      </c>
      <c r="L11" s="14" t="s">
        <v>207</v>
      </c>
      <c r="M11" s="14" t="s">
        <v>415</v>
      </c>
    </row>
    <row r="12" spans="1:13" ht="14.25">
      <c r="A12" s="7" t="s">
        <v>124</v>
      </c>
      <c r="B12" s="7" t="s">
        <v>283</v>
      </c>
      <c r="C12" s="7" t="s">
        <v>416</v>
      </c>
      <c r="D12" s="7" t="s">
        <v>75</v>
      </c>
      <c r="E12" s="7" t="s">
        <v>417</v>
      </c>
      <c r="F12" s="7" t="s">
        <v>75</v>
      </c>
      <c r="G12" s="7" t="s">
        <v>402</v>
      </c>
      <c r="H12" s="7" t="s">
        <v>418</v>
      </c>
      <c r="I12" s="7" t="s">
        <v>75</v>
      </c>
      <c r="J12" s="7" t="s">
        <v>75</v>
      </c>
      <c r="K12" s="7" t="s">
        <v>206</v>
      </c>
      <c r="L12" s="7" t="s">
        <v>281</v>
      </c>
      <c r="M12" s="7" t="s">
        <v>419</v>
      </c>
    </row>
    <row r="13" spans="1:13" ht="14.25">
      <c r="A13" s="14" t="s">
        <v>128</v>
      </c>
      <c r="B13" s="14" t="s">
        <v>283</v>
      </c>
      <c r="C13" s="14" t="s">
        <v>420</v>
      </c>
      <c r="D13" s="14" t="s">
        <v>75</v>
      </c>
      <c r="E13" s="14">
        <v>1</v>
      </c>
      <c r="F13" s="14" t="s">
        <v>75</v>
      </c>
      <c r="G13" s="14" t="s">
        <v>421</v>
      </c>
      <c r="H13" s="14" t="s">
        <v>422</v>
      </c>
      <c r="I13" s="14" t="s">
        <v>423</v>
      </c>
      <c r="J13" s="14" t="s">
        <v>174</v>
      </c>
      <c r="K13" s="14" t="s">
        <v>261</v>
      </c>
      <c r="L13" s="14" t="s">
        <v>281</v>
      </c>
      <c r="M13" s="14" t="s">
        <v>424</v>
      </c>
    </row>
    <row r="14" spans="1:13" ht="14.25">
      <c r="A14" s="7" t="s">
        <v>132</v>
      </c>
      <c r="B14" s="7" t="s">
        <v>300</v>
      </c>
      <c r="C14" s="7" t="s">
        <v>301</v>
      </c>
      <c r="D14" s="7" t="s">
        <v>302</v>
      </c>
      <c r="E14" s="7">
        <v>1</v>
      </c>
      <c r="F14" s="7" t="s">
        <v>425</v>
      </c>
      <c r="G14" s="7" t="s">
        <v>222</v>
      </c>
      <c r="H14" s="7" t="s">
        <v>426</v>
      </c>
      <c r="I14" s="7" t="s">
        <v>70</v>
      </c>
      <c r="J14" s="7" t="s">
        <v>174</v>
      </c>
      <c r="K14" s="7" t="s">
        <v>339</v>
      </c>
      <c r="L14" s="7" t="s">
        <v>281</v>
      </c>
      <c r="M14" s="7" t="s">
        <v>427</v>
      </c>
    </row>
    <row r="15" spans="1:13" ht="14.25">
      <c r="A15" s="14" t="s">
        <v>136</v>
      </c>
      <c r="B15" s="14" t="s">
        <v>307</v>
      </c>
      <c r="C15" s="14" t="s">
        <v>308</v>
      </c>
      <c r="D15" s="14" t="s">
        <v>309</v>
      </c>
      <c r="E15" s="14">
        <v>1</v>
      </c>
      <c r="F15" s="14" t="s">
        <v>428</v>
      </c>
      <c r="G15" s="14" t="s">
        <v>402</v>
      </c>
      <c r="H15" s="14" t="s">
        <v>429</v>
      </c>
      <c r="I15" s="14" t="s">
        <v>70</v>
      </c>
      <c r="J15" s="14" t="s">
        <v>174</v>
      </c>
      <c r="K15" s="14" t="s">
        <v>339</v>
      </c>
      <c r="L15" s="14" t="s">
        <v>281</v>
      </c>
      <c r="M15" s="14" t="s">
        <v>430</v>
      </c>
    </row>
    <row r="16" spans="1:13" ht="14.25">
      <c r="A16" s="7" t="s">
        <v>140</v>
      </c>
      <c r="B16" s="7" t="s">
        <v>313</v>
      </c>
      <c r="C16" s="7" t="s">
        <v>314</v>
      </c>
      <c r="D16" s="7" t="s">
        <v>315</v>
      </c>
      <c r="E16" s="7">
        <v>1</v>
      </c>
      <c r="F16" s="7" t="s">
        <v>431</v>
      </c>
      <c r="G16" s="7" t="s">
        <v>402</v>
      </c>
      <c r="H16" s="7" t="s">
        <v>432</v>
      </c>
      <c r="I16" s="7" t="s">
        <v>70</v>
      </c>
      <c r="J16" s="7" t="s">
        <v>174</v>
      </c>
      <c r="K16" s="7" t="s">
        <v>261</v>
      </c>
      <c r="L16" s="7" t="s">
        <v>281</v>
      </c>
      <c r="M16" s="7" t="s">
        <v>433</v>
      </c>
    </row>
    <row r="17" spans="1:13" ht="28.5">
      <c r="A17" s="14" t="s">
        <v>146</v>
      </c>
      <c r="B17" s="14" t="s">
        <v>320</v>
      </c>
      <c r="C17" s="14" t="s">
        <v>434</v>
      </c>
      <c r="D17" s="14" t="s">
        <v>75</v>
      </c>
      <c r="E17" s="14" t="s">
        <v>75</v>
      </c>
      <c r="F17" s="14" t="s">
        <v>435</v>
      </c>
      <c r="G17" s="14" t="s">
        <v>402</v>
      </c>
      <c r="H17" s="14" t="s">
        <v>436</v>
      </c>
      <c r="I17" s="14" t="s">
        <v>437</v>
      </c>
      <c r="J17" s="14" t="s">
        <v>174</v>
      </c>
      <c r="K17" s="14" t="s">
        <v>339</v>
      </c>
      <c r="L17" s="14" t="s">
        <v>207</v>
      </c>
      <c r="M17" s="14" t="s">
        <v>438</v>
      </c>
    </row>
    <row r="18" spans="1:13" ht="28.5">
      <c r="A18" s="7" t="s">
        <v>151</v>
      </c>
      <c r="B18" s="7" t="s">
        <v>359</v>
      </c>
      <c r="C18" s="7" t="s">
        <v>439</v>
      </c>
      <c r="D18" s="7" t="s">
        <v>75</v>
      </c>
      <c r="E18" s="7">
        <v>1</v>
      </c>
      <c r="F18" s="7" t="s">
        <v>440</v>
      </c>
      <c r="G18" s="7" t="s">
        <v>218</v>
      </c>
      <c r="H18" s="7" t="s">
        <v>441</v>
      </c>
      <c r="I18" s="7" t="s">
        <v>442</v>
      </c>
      <c r="J18" s="7" t="s">
        <v>364</v>
      </c>
      <c r="K18" s="7" t="s">
        <v>339</v>
      </c>
      <c r="L18" s="7" t="s">
        <v>281</v>
      </c>
      <c r="M18" s="7" t="s">
        <v>443</v>
      </c>
    </row>
    <row r="19" spans="1:13" ht="14.25">
      <c r="A19" s="14" t="s">
        <v>158</v>
      </c>
      <c r="B19" s="14" t="s">
        <v>359</v>
      </c>
      <c r="C19" s="14" t="s">
        <v>444</v>
      </c>
      <c r="D19" s="14" t="s">
        <v>75</v>
      </c>
      <c r="E19" s="14">
        <v>1</v>
      </c>
      <c r="F19" s="14" t="s">
        <v>445</v>
      </c>
      <c r="G19" s="14" t="s">
        <v>402</v>
      </c>
      <c r="H19" s="14" t="s">
        <v>446</v>
      </c>
      <c r="I19" s="14" t="s">
        <v>447</v>
      </c>
      <c r="J19" s="14" t="s">
        <v>364</v>
      </c>
      <c r="K19" s="14" t="s">
        <v>339</v>
      </c>
      <c r="L19" s="14" t="s">
        <v>281</v>
      </c>
      <c r="M19" s="14" t="s">
        <v>448</v>
      </c>
    </row>
    <row r="20" spans="1:13" ht="14.25">
      <c r="A20" s="7" t="s">
        <v>165</v>
      </c>
      <c r="B20" s="7" t="s">
        <v>334</v>
      </c>
      <c r="C20" s="7" t="s">
        <v>449</v>
      </c>
      <c r="D20" s="7" t="s">
        <v>336</v>
      </c>
      <c r="E20" s="7">
        <v>1</v>
      </c>
      <c r="F20" s="7" t="s">
        <v>450</v>
      </c>
      <c r="G20" s="7" t="s">
        <v>402</v>
      </c>
      <c r="H20" s="7" t="s">
        <v>451</v>
      </c>
      <c r="I20" s="7" t="s">
        <v>111</v>
      </c>
      <c r="J20" s="7" t="s">
        <v>174</v>
      </c>
      <c r="K20" s="7" t="s">
        <v>339</v>
      </c>
      <c r="L20" s="7" t="s">
        <v>207</v>
      </c>
      <c r="M20" s="7" t="s">
        <v>452</v>
      </c>
    </row>
    <row r="21" spans="1:13" ht="14.25">
      <c r="A21" s="14" t="s">
        <v>172</v>
      </c>
      <c r="B21" s="14" t="s">
        <v>334</v>
      </c>
      <c r="C21" s="14" t="s">
        <v>453</v>
      </c>
      <c r="D21" s="14" t="s">
        <v>336</v>
      </c>
      <c r="E21" s="14">
        <v>1</v>
      </c>
      <c r="F21" s="14" t="s">
        <v>75</v>
      </c>
      <c r="G21" s="14" t="s">
        <v>454</v>
      </c>
      <c r="H21" s="14" t="s">
        <v>455</v>
      </c>
      <c r="I21" s="14" t="s">
        <v>128</v>
      </c>
      <c r="J21" s="14" t="s">
        <v>174</v>
      </c>
      <c r="K21" s="14" t="s">
        <v>339</v>
      </c>
      <c r="L21" s="14" t="s">
        <v>281</v>
      </c>
      <c r="M21" s="14" t="s">
        <v>456</v>
      </c>
    </row>
    <row r="23" spans="3:3" ht="14.25">
      <c r="C23" s="15" t="s">
        <v>457</v>
      </c>
    </row>
  </sheetData>
  <autoFilter ref="A3:M21">
    <extLst/>
  </autoFilter>
  <mergeCells count="1">
    <mergeCell ref="A1:M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F39"/>
  <sheetViews>
    <sheetView showGridLines="1" workbookViewId="0"/>
  </sheetViews>
  <sheetFormatPr defaultColWidth="9" defaultRowHeight="13.5" outlineLevelCol="5"/>
  <cols>
    <col min="1" max="1" width="21.4609" customWidth="1"/>
    <col min="2" max="2" width="20" customWidth="1"/>
    <col min="3" max="3" width="18" customWidth="1"/>
    <col min="4" max="4" width="34" customWidth="1"/>
    <col min="5" max="5" width="46.8516" customWidth="1"/>
    <col min="6" max="6" width="34" customWidth="1"/>
  </cols>
  <sheetData>
    <row r="1" spans="1:1" ht="24" customHeight="1">
      <c r="A1" s="4" t="s">
        <v>458</v>
      </c>
    </row>
    <row r="3" spans="1:6" ht="30" customHeight="1">
      <c r="A3" s="10" t="s">
        <v>459</v>
      </c>
      <c r="B3" s="10" t="s">
        <v>194</v>
      </c>
      <c r="C3" s="10" t="s">
        <v>460</v>
      </c>
      <c r="D3" s="10" t="s">
        <v>461</v>
      </c>
      <c r="E3" s="10" t="s">
        <v>462</v>
      </c>
      <c r="F3" s="10" t="s">
        <v>69</v>
      </c>
    </row>
    <row r="4" spans="1:6" ht="14.25">
      <c r="A4" s="7" t="s">
        <v>242</v>
      </c>
      <c r="B4" s="7" t="s">
        <v>203</v>
      </c>
      <c r="C4" s="7" t="s">
        <v>463</v>
      </c>
      <c r="D4" s="7" t="s">
        <v>201</v>
      </c>
      <c r="E4" s="7" t="s">
        <v>464</v>
      </c>
      <c r="F4" s="7" t="s">
        <v>465</v>
      </c>
    </row>
    <row r="5" spans="1:6" ht="14.25">
      <c r="A5" s="14" t="s">
        <v>242</v>
      </c>
      <c r="B5" s="14" t="s">
        <v>466</v>
      </c>
      <c r="C5" s="14" t="s">
        <v>388</v>
      </c>
      <c r="D5" s="14" t="s">
        <v>467</v>
      </c>
      <c r="E5" s="14" t="s">
        <v>468</v>
      </c>
      <c r="F5" s="14" t="s">
        <v>75</v>
      </c>
    </row>
    <row r="6" spans="1:6" ht="14.25">
      <c r="A6" s="7" t="s">
        <v>242</v>
      </c>
      <c r="B6" s="7" t="s">
        <v>469</v>
      </c>
      <c r="C6" s="7" t="s">
        <v>388</v>
      </c>
      <c r="D6" s="7" t="s">
        <v>470</v>
      </c>
      <c r="E6" s="7" t="s">
        <v>468</v>
      </c>
      <c r="F6" s="7" t="s">
        <v>222</v>
      </c>
    </row>
    <row r="7" spans="1:6" ht="14.25">
      <c r="A7" s="14" t="s">
        <v>242</v>
      </c>
      <c r="B7" s="14" t="s">
        <v>466</v>
      </c>
      <c r="C7" s="14" t="s">
        <v>388</v>
      </c>
      <c r="D7" s="14" t="s">
        <v>471</v>
      </c>
      <c r="E7" s="14" t="s">
        <v>472</v>
      </c>
      <c r="F7" s="14" t="s">
        <v>75</v>
      </c>
    </row>
    <row r="8" spans="1:6" ht="14.25">
      <c r="A8" s="7" t="s">
        <v>242</v>
      </c>
      <c r="B8" s="7" t="s">
        <v>469</v>
      </c>
      <c r="C8" s="7" t="s">
        <v>388</v>
      </c>
      <c r="D8" s="7" t="s">
        <v>473</v>
      </c>
      <c r="E8" s="7" t="s">
        <v>472</v>
      </c>
      <c r="F8" s="7" t="s">
        <v>75</v>
      </c>
    </row>
    <row r="9" spans="1:6" ht="14.25">
      <c r="A9" s="14" t="s">
        <v>242</v>
      </c>
      <c r="B9" s="14" t="s">
        <v>466</v>
      </c>
      <c r="C9" s="14" t="s">
        <v>388</v>
      </c>
      <c r="D9" s="14" t="s">
        <v>474</v>
      </c>
      <c r="E9" s="14" t="s">
        <v>475</v>
      </c>
      <c r="F9" s="14" t="s">
        <v>476</v>
      </c>
    </row>
    <row r="10" spans="1:6" ht="14.25">
      <c r="A10" s="7" t="s">
        <v>242</v>
      </c>
      <c r="B10" s="7" t="s">
        <v>469</v>
      </c>
      <c r="C10" s="7" t="s">
        <v>388</v>
      </c>
      <c r="D10" s="7" t="s">
        <v>477</v>
      </c>
      <c r="E10" s="7" t="s">
        <v>478</v>
      </c>
      <c r="F10" s="7" t="s">
        <v>479</v>
      </c>
    </row>
    <row r="11" spans="1:6" ht="14.25">
      <c r="A11" s="14" t="s">
        <v>402</v>
      </c>
      <c r="B11" s="14" t="s">
        <v>385</v>
      </c>
      <c r="C11" s="14" t="s">
        <v>463</v>
      </c>
      <c r="D11" s="14" t="s">
        <v>383</v>
      </c>
      <c r="E11" s="14" t="s">
        <v>480</v>
      </c>
      <c r="F11" s="14" t="s">
        <v>481</v>
      </c>
    </row>
    <row r="12" spans="1:6" ht="14.25">
      <c r="A12" s="7" t="s">
        <v>402</v>
      </c>
      <c r="B12" s="7" t="s">
        <v>466</v>
      </c>
      <c r="C12" s="7" t="s">
        <v>388</v>
      </c>
      <c r="D12" s="7" t="s">
        <v>482</v>
      </c>
      <c r="E12" s="7" t="s">
        <v>483</v>
      </c>
      <c r="F12" s="7" t="s">
        <v>75</v>
      </c>
    </row>
    <row r="13" spans="1:6" ht="14.25">
      <c r="A13" s="14" t="s">
        <v>402</v>
      </c>
      <c r="B13" s="14" t="s">
        <v>466</v>
      </c>
      <c r="C13" s="14" t="s">
        <v>388</v>
      </c>
      <c r="D13" s="14" t="s">
        <v>484</v>
      </c>
      <c r="E13" s="14" t="s">
        <v>485</v>
      </c>
      <c r="F13" s="14" t="s">
        <v>75</v>
      </c>
    </row>
    <row r="14" spans="1:6" ht="14.25">
      <c r="A14" s="7" t="s">
        <v>402</v>
      </c>
      <c r="B14" s="7" t="s">
        <v>469</v>
      </c>
      <c r="C14" s="7" t="s">
        <v>388</v>
      </c>
      <c r="D14" s="7" t="s">
        <v>486</v>
      </c>
      <c r="E14" s="7" t="s">
        <v>485</v>
      </c>
      <c r="F14" s="7" t="s">
        <v>218</v>
      </c>
    </row>
    <row r="16" spans="1:1" ht="20" customHeight="1">
      <c r="A16" s="9" t="s">
        <v>487</v>
      </c>
    </row>
    <row r="17" spans="1:6" ht="30" customHeight="1">
      <c r="A17" s="10" t="s">
        <v>459</v>
      </c>
      <c r="B17" s="10" t="s">
        <v>488</v>
      </c>
      <c r="C17" s="10" t="s">
        <v>192</v>
      </c>
      <c r="D17" s="10" t="s">
        <v>489</v>
      </c>
      <c r="E17" s="10" t="s">
        <v>490</v>
      </c>
      <c r="F17" s="10" t="s">
        <v>69</v>
      </c>
    </row>
    <row r="18" spans="1:6" ht="28.5">
      <c r="A18" s="7" t="s">
        <v>242</v>
      </c>
      <c r="B18" s="7" t="s">
        <v>491</v>
      </c>
      <c r="C18" s="7">
        <v>4</v>
      </c>
      <c r="D18" s="7" t="s">
        <v>221</v>
      </c>
      <c r="E18" s="7" t="s">
        <v>492</v>
      </c>
      <c r="F18" s="7" t="s">
        <v>493</v>
      </c>
    </row>
    <row r="19" spans="1:6" ht="14.25">
      <c r="A19" s="14" t="s">
        <v>242</v>
      </c>
      <c r="B19" s="14" t="s">
        <v>494</v>
      </c>
      <c r="C19" s="14">
        <v>1</v>
      </c>
      <c r="D19" s="14" t="s">
        <v>232</v>
      </c>
      <c r="E19" s="14" t="s">
        <v>495</v>
      </c>
      <c r="F19" s="14" t="s">
        <v>75</v>
      </c>
    </row>
    <row r="20" spans="1:6" ht="14.25">
      <c r="A20" s="7" t="s">
        <v>402</v>
      </c>
      <c r="B20" s="7" t="s">
        <v>496</v>
      </c>
      <c r="C20" s="7">
        <v>4</v>
      </c>
      <c r="D20" s="7" t="s">
        <v>221</v>
      </c>
      <c r="E20" s="7" t="s">
        <v>497</v>
      </c>
      <c r="F20" s="7" t="s">
        <v>498</v>
      </c>
    </row>
    <row r="22" spans="1:1" ht="20" customHeight="1">
      <c r="A22" s="9" t="s">
        <v>499</v>
      </c>
    </row>
    <row r="23" spans="1:6" ht="30" customHeight="1">
      <c r="A23" s="10" t="s">
        <v>459</v>
      </c>
      <c r="B23" s="10" t="s">
        <v>434</v>
      </c>
      <c r="C23" s="10" t="s">
        <v>500</v>
      </c>
      <c r="D23" s="10" t="s">
        <v>501</v>
      </c>
      <c r="E23" s="10" t="s">
        <v>502</v>
      </c>
      <c r="F23" s="10" t="s">
        <v>490</v>
      </c>
    </row>
    <row r="24" spans="1:6" ht="28.5">
      <c r="A24" s="7" t="s">
        <v>242</v>
      </c>
      <c r="B24" s="7" t="s">
        <v>503</v>
      </c>
      <c r="C24" s="7" t="s">
        <v>504</v>
      </c>
      <c r="D24" s="7" t="s">
        <v>505</v>
      </c>
      <c r="E24" s="7" t="s">
        <v>506</v>
      </c>
      <c r="F24" s="7" t="s">
        <v>507</v>
      </c>
    </row>
    <row r="25" spans="1:6" ht="14.25">
      <c r="A25" s="14" t="s">
        <v>242</v>
      </c>
      <c r="B25" s="14" t="s">
        <v>508</v>
      </c>
      <c r="C25" s="14" t="s">
        <v>504</v>
      </c>
      <c r="D25" s="14" t="s">
        <v>509</v>
      </c>
      <c r="E25" s="14" t="s">
        <v>503</v>
      </c>
      <c r="F25" s="14" t="s">
        <v>510</v>
      </c>
    </row>
    <row r="26" spans="1:6" ht="14.25">
      <c r="A26" s="7" t="s">
        <v>242</v>
      </c>
      <c r="B26" s="7" t="s">
        <v>508</v>
      </c>
      <c r="C26" s="7" t="s">
        <v>511</v>
      </c>
      <c r="D26" s="7" t="s">
        <v>512</v>
      </c>
      <c r="E26" s="7" t="s">
        <v>513</v>
      </c>
      <c r="F26" s="7" t="s">
        <v>514</v>
      </c>
    </row>
    <row r="27" spans="1:6" ht="14.25">
      <c r="A27" s="14" t="s">
        <v>242</v>
      </c>
      <c r="B27" s="14" t="s">
        <v>508</v>
      </c>
      <c r="C27" s="14" t="s">
        <v>511</v>
      </c>
      <c r="D27" s="14" t="s">
        <v>515</v>
      </c>
      <c r="E27" s="14" t="s">
        <v>516</v>
      </c>
      <c r="F27" s="14" t="s">
        <v>517</v>
      </c>
    </row>
    <row r="28" spans="1:6" ht="14.25">
      <c r="A28" s="7" t="s">
        <v>242</v>
      </c>
      <c r="B28" s="7" t="s">
        <v>513</v>
      </c>
      <c r="C28" s="7" t="s">
        <v>504</v>
      </c>
      <c r="D28" s="7" t="s">
        <v>518</v>
      </c>
      <c r="E28" s="7" t="s">
        <v>519</v>
      </c>
      <c r="F28" s="7" t="s">
        <v>520</v>
      </c>
    </row>
    <row r="29" spans="1:6" ht="14.25">
      <c r="A29" s="14" t="s">
        <v>402</v>
      </c>
      <c r="B29" s="14" t="s">
        <v>521</v>
      </c>
      <c r="C29" s="14" t="s">
        <v>504</v>
      </c>
      <c r="D29" s="14" t="s">
        <v>505</v>
      </c>
      <c r="E29" s="14" t="s">
        <v>506</v>
      </c>
      <c r="F29" s="14" t="s">
        <v>522</v>
      </c>
    </row>
    <row r="30" spans="1:6" ht="14.25">
      <c r="A30" s="7" t="s">
        <v>402</v>
      </c>
      <c r="B30" s="7" t="s">
        <v>523</v>
      </c>
      <c r="C30" s="7" t="s">
        <v>504</v>
      </c>
      <c r="D30" s="7" t="s">
        <v>509</v>
      </c>
      <c r="E30" s="7" t="s">
        <v>521</v>
      </c>
      <c r="F30" s="7" t="s">
        <v>524</v>
      </c>
    </row>
    <row r="31" spans="1:6" ht="14.25">
      <c r="A31" s="14" t="s">
        <v>402</v>
      </c>
      <c r="B31" s="14" t="s">
        <v>523</v>
      </c>
      <c r="C31" s="14" t="s">
        <v>511</v>
      </c>
      <c r="D31" s="14" t="s">
        <v>518</v>
      </c>
      <c r="E31" s="14" t="s">
        <v>525</v>
      </c>
      <c r="F31" s="14" t="s">
        <v>526</v>
      </c>
    </row>
    <row r="33" spans="1:1" ht="20" customHeight="1">
      <c r="A33" s="9" t="s">
        <v>527</v>
      </c>
    </row>
    <row r="34" spans="1:6" ht="30" customHeight="1">
      <c r="A34" s="10" t="s">
        <v>528</v>
      </c>
      <c r="B34" s="10" t="s">
        <v>529</v>
      </c>
      <c r="C34" s="10" t="s">
        <v>530</v>
      </c>
      <c r="D34" s="10" t="s">
        <v>531</v>
      </c>
      <c r="E34" s="10" t="s">
        <v>490</v>
      </c>
      <c r="F34" s="10" t="s">
        <v>69</v>
      </c>
    </row>
    <row r="35" spans="1:6" ht="14.25">
      <c r="A35" s="7" t="s">
        <v>532</v>
      </c>
      <c r="B35" s="7" t="s">
        <v>321</v>
      </c>
      <c r="C35" s="7" t="s">
        <v>533</v>
      </c>
      <c r="D35" s="7" t="s">
        <v>534</v>
      </c>
      <c r="E35" s="7" t="s">
        <v>535</v>
      </c>
      <c r="F35" s="7" t="s">
        <v>536</v>
      </c>
    </row>
    <row r="36" spans="1:6" ht="28.5">
      <c r="A36" s="14" t="s">
        <v>537</v>
      </c>
      <c r="B36" s="14" t="s">
        <v>321</v>
      </c>
      <c r="C36" s="14" t="s">
        <v>533</v>
      </c>
      <c r="D36" s="14" t="s">
        <v>534</v>
      </c>
      <c r="E36" s="14" t="s">
        <v>538</v>
      </c>
      <c r="F36" s="14" t="s">
        <v>539</v>
      </c>
    </row>
    <row r="37" spans="1:6" ht="28.5">
      <c r="A37" s="7" t="s">
        <v>540</v>
      </c>
      <c r="B37" s="7" t="s">
        <v>321</v>
      </c>
      <c r="C37" s="7" t="s">
        <v>541</v>
      </c>
      <c r="D37" s="7" t="s">
        <v>542</v>
      </c>
      <c r="E37" s="7" t="s">
        <v>543</v>
      </c>
      <c r="F37" s="7" t="s">
        <v>544</v>
      </c>
    </row>
    <row r="38" spans="1:6" ht="28.5">
      <c r="A38" s="14" t="s">
        <v>545</v>
      </c>
      <c r="B38" s="14" t="s">
        <v>546</v>
      </c>
      <c r="C38" s="14" t="s">
        <v>547</v>
      </c>
      <c r="D38" s="14" t="s">
        <v>548</v>
      </c>
      <c r="E38" s="14" t="s">
        <v>549</v>
      </c>
      <c r="F38" s="14" t="s">
        <v>550</v>
      </c>
    </row>
    <row r="39" spans="1:6" ht="14.25">
      <c r="A39" s="7" t="s">
        <v>551</v>
      </c>
      <c r="B39" s="7" t="s">
        <v>321</v>
      </c>
      <c r="C39" s="7" t="s">
        <v>552</v>
      </c>
      <c r="D39" s="7" t="s">
        <v>553</v>
      </c>
      <c r="E39" s="7" t="s">
        <v>554</v>
      </c>
      <c r="F39" s="7" t="s">
        <v>555</v>
      </c>
    </row>
  </sheetData>
  <mergeCells count="4">
    <mergeCell ref="A1:F1"/>
    <mergeCell ref="A16:F16"/>
    <mergeCell ref="A22:F22"/>
    <mergeCell ref="A33:F3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>
  <sheetPr/>
  <dimension ref="V62"/>
  <sheetViews>
    <sheetView showGridLines="1" workbookViewId="0">
      <pane xSplit="2" ySplit="3" topLeftCell="C4" activePane="bottomRight" state="frozen"/>
    </sheetView>
  </sheetViews>
  <sheetFormatPr defaultColWidth="9" defaultRowHeight="13.5"/>
  <cols>
    <col min="1" max="1" width="5" customWidth="1"/>
    <col min="2" max="2" width="40.3516" customWidth="1"/>
    <col min="3" max="3" width="44" customWidth="1"/>
    <col min="4" max="4" width="12.75" customWidth="1"/>
    <col min="5" max="5" width="15.8203" customWidth="1"/>
    <col min="6" max="6" width="10" customWidth="1"/>
    <col min="7" max="7" width="15.332" customWidth="1"/>
    <col min="8" max="8" width="9" customWidth="1"/>
    <col min="9" max="9" width="11" customWidth="1"/>
    <col min="10" max="19" width="7" customWidth="1"/>
    <col min="20" max="20" width="38" customWidth="1"/>
    <col min="21" max="21" width="8" customWidth="1"/>
    <col min="22" max="22" width="11" customWidth="1"/>
  </cols>
  <sheetData>
    <row r="1" spans="1:1" ht="24" customHeight="1">
      <c r="A1" s="4" t="s">
        <v>556</v>
      </c>
    </row>
    <row r="3" spans="1:22" ht="30" customHeight="1">
      <c r="A3" s="10" t="s">
        <v>557</v>
      </c>
      <c r="B3" s="10" t="s">
        <v>59</v>
      </c>
      <c r="C3" s="10" t="s">
        <v>558</v>
      </c>
      <c r="D3" s="10" t="s">
        <v>198</v>
      </c>
      <c r="E3" s="10" t="s">
        <v>64</v>
      </c>
      <c r="F3" s="10" t="s">
        <v>559</v>
      </c>
      <c r="G3" s="10" t="s">
        <v>560</v>
      </c>
      <c r="H3" s="10" t="s">
        <v>561</v>
      </c>
      <c r="I3" s="10" t="s">
        <v>562</v>
      </c>
      <c r="J3" s="10" t="s">
        <v>563</v>
      </c>
      <c r="K3" s="10" t="s">
        <v>564</v>
      </c>
      <c r="L3" s="10" t="s">
        <v>565</v>
      </c>
      <c r="M3" s="10" t="s">
        <v>566</v>
      </c>
      <c r="N3" s="10" t="s">
        <v>567</v>
      </c>
      <c r="O3" s="10" t="s">
        <v>568</v>
      </c>
      <c r="P3" s="10" t="s">
        <v>569</v>
      </c>
      <c r="Q3" s="10" t="s">
        <v>570</v>
      </c>
      <c r="R3" s="10" t="s">
        <v>571</v>
      </c>
      <c r="S3" s="10" t="s">
        <v>572</v>
      </c>
      <c r="T3" s="10" t="s">
        <v>573</v>
      </c>
      <c r="U3" s="10" t="s">
        <v>574</v>
      </c>
      <c r="V3" s="10" t="s">
        <v>575</v>
      </c>
    </row>
    <row r="4" spans="1:22" ht="14.25">
      <c r="A4" s="16" t="s">
        <v>206</v>
      </c>
      <c r="B4" s="17">
        <v>1</v>
      </c>
      <c r="C4" s="7" t="s">
        <v>576</v>
      </c>
      <c r="D4" s="16" t="s">
        <v>207</v>
      </c>
      <c r="E4" s="7" t="s">
        <v>577</v>
      </c>
      <c r="F4" s="17">
        <v>2</v>
      </c>
      <c r="G4" s="17">
        <v>1</v>
      </c>
      <c r="H4" s="17">
        <v>1</v>
      </c>
      <c r="I4" s="18">
        <f>=说明与总览!$B$19+VALUE(MID($A4,2,1))-1</f>
        <v>46287</v>
      </c>
      <c r="J4" s="17" t="str">
        <f>=IF(AND($G4&lt;=1,$H4&gt;=1),"■■","")</f>
        <v>■■</v>
      </c>
      <c r="K4" s="17" t="str">
        <f>=IF(AND($G4&lt;=2,$H4&gt;=2),"■■","")</f>
        <v/>
      </c>
      <c r="L4" s="17" t="str">
        <f>=IF(AND($G4&lt;=3,$H4&gt;=3),"■■","")</f>
        <v/>
      </c>
      <c r="M4" s="17" t="str">
        <f>=IF(AND($G4&lt;=4,$H4&gt;=4),"■■","")</f>
        <v/>
      </c>
      <c r="N4" s="17" t="str">
        <f>=IF(AND($G4&lt;=5,$H4&gt;=5),"■■","")</f>
        <v/>
      </c>
      <c r="O4" s="17" t="str">
        <f>=IF(AND($G4&lt;=6,$H4&gt;=6),"■■","")</f>
        <v/>
      </c>
      <c r="P4" s="17" t="str">
        <f>=IF(AND($G4&lt;=7,$H4&gt;=7),"■■","")</f>
        <v/>
      </c>
      <c r="Q4" s="17" t="str">
        <f>=IF(AND($G4&lt;=8,$H4&gt;=8),"■■","")</f>
        <v/>
      </c>
      <c r="R4" s="17" t="str">
        <f>=IF(AND($G4&lt;=9,$H4&gt;=9),"■■","")</f>
        <v/>
      </c>
      <c r="S4" s="17" t="str">
        <f>=IF(AND($G4&lt;=10,$H4&gt;=10),"■■","")</f>
        <v/>
      </c>
      <c r="T4" s="7" t="s">
        <v>579</v>
      </c>
      <c r="U4" s="17" t="s">
        <v>580</v>
      </c>
      <c r="V4" s="19">
        <f>=IF($H4&lt;$G4,0,$F4/($H4-$G4+1))</f>
        <v>2</v>
      </c>
    </row>
    <row r="5" spans="1:22" ht="14.25">
      <c r="A5" s="20" t="s">
        <v>206</v>
      </c>
      <c r="B5" s="21">
        <v>2</v>
      </c>
      <c r="C5" s="14" t="s">
        <v>581</v>
      </c>
      <c r="D5" s="20" t="s">
        <v>281</v>
      </c>
      <c r="E5" s="14" t="s">
        <v>582</v>
      </c>
      <c r="F5" s="21">
        <v>1</v>
      </c>
      <c r="G5" s="21">
        <v>1</v>
      </c>
      <c r="H5" s="21">
        <v>1</v>
      </c>
      <c r="I5" s="22">
        <f>=说明与总览!$B$19+VALUE(MID($A5,2,1))-1</f>
        <v>46287</v>
      </c>
      <c r="J5" s="21" t="str">
        <f>=IF(AND($G5&lt;=1,$H5&gt;=1),"■■","")</f>
        <v>■■</v>
      </c>
      <c r="K5" s="21" t="str">
        <f>=IF(AND($G5&lt;=2,$H5&gt;=2),"■■","")</f>
        <v/>
      </c>
      <c r="L5" s="21" t="str">
        <f>=IF(AND($G5&lt;=3,$H5&gt;=3),"■■","")</f>
        <v/>
      </c>
      <c r="M5" s="21" t="str">
        <f>=IF(AND($G5&lt;=4,$H5&gt;=4),"■■","")</f>
        <v/>
      </c>
      <c r="N5" s="21" t="str">
        <f>=IF(AND($G5&lt;=5,$H5&gt;=5),"■■","")</f>
        <v/>
      </c>
      <c r="O5" s="21" t="str">
        <f>=IF(AND($G5&lt;=6,$H5&gt;=6),"■■","")</f>
        <v/>
      </c>
      <c r="P5" s="21" t="str">
        <f>=IF(AND($G5&lt;=7,$H5&gt;=7),"■■","")</f>
        <v/>
      </c>
      <c r="Q5" s="21" t="str">
        <f>=IF(AND($G5&lt;=8,$H5&gt;=8),"■■","")</f>
        <v/>
      </c>
      <c r="R5" s="21" t="str">
        <f>=IF(AND($G5&lt;=9,$H5&gt;=9),"■■","")</f>
        <v/>
      </c>
      <c r="S5" s="21" t="str">
        <f>=IF(AND($G5&lt;=10,$H5&gt;=10),"■■","")</f>
        <v/>
      </c>
      <c r="T5" s="14" t="s">
        <v>583</v>
      </c>
      <c r="U5" s="21" t="s">
        <v>580</v>
      </c>
      <c r="V5" s="23">
        <f>=IF($H5&lt;$G5,0,$F5/($H5-$G5+1))</f>
        <v>1</v>
      </c>
    </row>
    <row r="6" spans="1:22" ht="14.25">
      <c r="A6" s="16" t="s">
        <v>206</v>
      </c>
      <c r="B6" s="17">
        <v>3</v>
      </c>
      <c r="C6" s="7" t="s">
        <v>584</v>
      </c>
      <c r="D6" s="16" t="s">
        <v>281</v>
      </c>
      <c r="E6" s="7" t="s">
        <v>585</v>
      </c>
      <c r="F6" s="17">
        <v>1</v>
      </c>
      <c r="G6" s="17">
        <v>1</v>
      </c>
      <c r="H6" s="17">
        <v>1</v>
      </c>
      <c r="I6" s="18">
        <f>=说明与总览!$B$19+VALUE(MID($A6,2,1))-1</f>
        <v>46287</v>
      </c>
      <c r="J6" s="17" t="str">
        <f>=IF(AND($G6&lt;=1,$H6&gt;=1),"■■","")</f>
        <v>■■</v>
      </c>
      <c r="K6" s="17" t="str">
        <f>=IF(AND($G6&lt;=2,$H6&gt;=2),"■■","")</f>
        <v/>
      </c>
      <c r="L6" s="17" t="str">
        <f>=IF(AND($G6&lt;=3,$H6&gt;=3),"■■","")</f>
        <v/>
      </c>
      <c r="M6" s="17" t="str">
        <f>=IF(AND($G6&lt;=4,$H6&gt;=4),"■■","")</f>
        <v/>
      </c>
      <c r="N6" s="17" t="str">
        <f>=IF(AND($G6&lt;=5,$H6&gt;=5),"■■","")</f>
        <v/>
      </c>
      <c r="O6" s="17" t="str">
        <f>=IF(AND($G6&lt;=6,$H6&gt;=6),"■■","")</f>
        <v/>
      </c>
      <c r="P6" s="17" t="str">
        <f>=IF(AND($G6&lt;=7,$H6&gt;=7),"■■","")</f>
        <v/>
      </c>
      <c r="Q6" s="17" t="str">
        <f>=IF(AND($G6&lt;=8,$H6&gt;=8),"■■","")</f>
        <v/>
      </c>
      <c r="R6" s="17" t="str">
        <f>=IF(AND($G6&lt;=9,$H6&gt;=9),"■■","")</f>
        <v/>
      </c>
      <c r="S6" s="17" t="str">
        <f>=IF(AND($G6&lt;=10,$H6&gt;=10),"■■","")</f>
        <v/>
      </c>
      <c r="T6" s="7" t="s">
        <v>586</v>
      </c>
      <c r="U6" s="17" t="s">
        <v>580</v>
      </c>
      <c r="V6" s="19">
        <f>=IF($H6&lt;$G6,0,$F6/($H6-$G6+1))</f>
        <v>1</v>
      </c>
    </row>
    <row r="7" spans="1:22" ht="14.25">
      <c r="A7" s="20" t="s">
        <v>206</v>
      </c>
      <c r="B7" s="21">
        <v>4</v>
      </c>
      <c r="C7" s="14" t="s">
        <v>587</v>
      </c>
      <c r="D7" s="20" t="s">
        <v>281</v>
      </c>
      <c r="E7" s="14" t="s">
        <v>588</v>
      </c>
      <c r="F7" s="21">
        <v>2</v>
      </c>
      <c r="G7" s="21">
        <v>1</v>
      </c>
      <c r="H7" s="21">
        <v>1</v>
      </c>
      <c r="I7" s="22">
        <f>=说明与总览!$B$19+VALUE(MID($A7,2,1))-1</f>
        <v>46287</v>
      </c>
      <c r="J7" s="21" t="str">
        <f>=IF(AND($G7&lt;=1,$H7&gt;=1),"■■","")</f>
        <v>■■</v>
      </c>
      <c r="K7" s="21" t="str">
        <f>=IF(AND($G7&lt;=2,$H7&gt;=2),"■■","")</f>
        <v/>
      </c>
      <c r="L7" s="21" t="str">
        <f>=IF(AND($G7&lt;=3,$H7&gt;=3),"■■","")</f>
        <v/>
      </c>
      <c r="M7" s="21" t="str">
        <f>=IF(AND($G7&lt;=4,$H7&gt;=4),"■■","")</f>
        <v/>
      </c>
      <c r="N7" s="21" t="str">
        <f>=IF(AND($G7&lt;=5,$H7&gt;=5),"■■","")</f>
        <v/>
      </c>
      <c r="O7" s="21" t="str">
        <f>=IF(AND($G7&lt;=6,$H7&gt;=6),"■■","")</f>
        <v/>
      </c>
      <c r="P7" s="21" t="str">
        <f>=IF(AND($G7&lt;=7,$H7&gt;=7),"■■","")</f>
        <v/>
      </c>
      <c r="Q7" s="21" t="str">
        <f>=IF(AND($G7&lt;=8,$H7&gt;=8),"■■","")</f>
        <v/>
      </c>
      <c r="R7" s="21" t="str">
        <f>=IF(AND($G7&lt;=9,$H7&gt;=9),"■■","")</f>
        <v/>
      </c>
      <c r="S7" s="21" t="str">
        <f>=IF(AND($G7&lt;=10,$H7&gt;=10),"■■","")</f>
        <v/>
      </c>
      <c r="T7" s="14" t="s">
        <v>589</v>
      </c>
      <c r="U7" s="21" t="s">
        <v>580</v>
      </c>
      <c r="V7" s="23">
        <f>=IF($H7&lt;$G7,0,$F7/($H7-$G7+1))</f>
        <v>2</v>
      </c>
    </row>
    <row r="8" spans="1:22" ht="14.25">
      <c r="A8" s="16" t="s">
        <v>206</v>
      </c>
      <c r="B8" s="17">
        <v>5</v>
      </c>
      <c r="C8" s="7" t="s">
        <v>590</v>
      </c>
      <c r="D8" s="16" t="s">
        <v>207</v>
      </c>
      <c r="E8" s="7" t="s">
        <v>591</v>
      </c>
      <c r="F8" s="17">
        <v>4</v>
      </c>
      <c r="G8" s="17">
        <v>1</v>
      </c>
      <c r="H8" s="17">
        <v>2</v>
      </c>
      <c r="I8" s="18">
        <f>=说明与总览!$B$19+VALUE(MID($A8,2,1))-1</f>
        <v>46287</v>
      </c>
      <c r="J8" s="17" t="str">
        <f>=IF(AND($G8&lt;=1,$H8&gt;=1),"■■","")</f>
        <v>■■</v>
      </c>
      <c r="K8" s="17" t="str">
        <f>=IF(AND($G8&lt;=2,$H8&gt;=2),"■■","")</f>
        <v>■■</v>
      </c>
      <c r="L8" s="17" t="str">
        <f>=IF(AND($G8&lt;=3,$H8&gt;=3),"■■","")</f>
        <v/>
      </c>
      <c r="M8" s="17" t="str">
        <f>=IF(AND($G8&lt;=4,$H8&gt;=4),"■■","")</f>
        <v/>
      </c>
      <c r="N8" s="17" t="str">
        <f>=IF(AND($G8&lt;=5,$H8&gt;=5),"■■","")</f>
        <v/>
      </c>
      <c r="O8" s="17" t="str">
        <f>=IF(AND($G8&lt;=6,$H8&gt;=6),"■■","")</f>
        <v/>
      </c>
      <c r="P8" s="17" t="str">
        <f>=IF(AND($G8&lt;=7,$H8&gt;=7),"■■","")</f>
        <v/>
      </c>
      <c r="Q8" s="17" t="str">
        <f>=IF(AND($G8&lt;=8,$H8&gt;=8),"■■","")</f>
        <v/>
      </c>
      <c r="R8" s="17" t="str">
        <f>=IF(AND($G8&lt;=9,$H8&gt;=9),"■■","")</f>
        <v/>
      </c>
      <c r="S8" s="17" t="str">
        <f>=IF(AND($G8&lt;=10,$H8&gt;=10),"■■","")</f>
        <v/>
      </c>
      <c r="T8" s="7" t="s">
        <v>592</v>
      </c>
      <c r="U8" s="17" t="s">
        <v>580</v>
      </c>
      <c r="V8" s="19">
        <f>=IF($H8&lt;$G8,0,$F8/($H8-$G8+1))</f>
        <v>2</v>
      </c>
    </row>
    <row r="9" spans="1:22" ht="14.25">
      <c r="A9" s="20" t="s">
        <v>206</v>
      </c>
      <c r="B9" s="21">
        <v>6</v>
      </c>
      <c r="C9" s="14" t="s">
        <v>593</v>
      </c>
      <c r="D9" s="20" t="s">
        <v>207</v>
      </c>
      <c r="E9" s="14" t="s">
        <v>100</v>
      </c>
      <c r="F9" s="21">
        <v>2</v>
      </c>
      <c r="G9" s="21">
        <v>2</v>
      </c>
      <c r="H9" s="21">
        <v>2</v>
      </c>
      <c r="I9" s="22">
        <f>=说明与总览!$B$19+VALUE(MID($A9,2,1))-1</f>
        <v>46287</v>
      </c>
      <c r="J9" s="21" t="str">
        <f>=IF(AND($G9&lt;=1,$H9&gt;=1),"■■","")</f>
        <v/>
      </c>
      <c r="K9" s="21" t="str">
        <f>=IF(AND($G9&lt;=2,$H9&gt;=2),"■■","")</f>
        <v>■■</v>
      </c>
      <c r="L9" s="21" t="str">
        <f>=IF(AND($G9&lt;=3,$H9&gt;=3),"■■","")</f>
        <v/>
      </c>
      <c r="M9" s="21" t="str">
        <f>=IF(AND($G9&lt;=4,$H9&gt;=4),"■■","")</f>
        <v/>
      </c>
      <c r="N9" s="21" t="str">
        <f>=IF(AND($G9&lt;=5,$H9&gt;=5),"■■","")</f>
        <v/>
      </c>
      <c r="O9" s="21" t="str">
        <f>=IF(AND($G9&lt;=6,$H9&gt;=6),"■■","")</f>
        <v/>
      </c>
      <c r="P9" s="21" t="str">
        <f>=IF(AND($G9&lt;=7,$H9&gt;=7),"■■","")</f>
        <v/>
      </c>
      <c r="Q9" s="21" t="str">
        <f>=IF(AND($G9&lt;=8,$H9&gt;=8),"■■","")</f>
        <v/>
      </c>
      <c r="R9" s="21" t="str">
        <f>=IF(AND($G9&lt;=9,$H9&gt;=9),"■■","")</f>
        <v/>
      </c>
      <c r="S9" s="21" t="str">
        <f>=IF(AND($G9&lt;=10,$H9&gt;=10),"■■","")</f>
        <v/>
      </c>
      <c r="T9" s="14" t="s">
        <v>594</v>
      </c>
      <c r="U9" s="21" t="s">
        <v>580</v>
      </c>
      <c r="V9" s="23">
        <f>=IF($H9&lt;$G9,0,$F9/($H9-$G9+1))</f>
        <v>2</v>
      </c>
    </row>
    <row r="10" spans="1:22" ht="14.25">
      <c r="A10" s="16" t="s">
        <v>206</v>
      </c>
      <c r="B10" s="17">
        <v>7</v>
      </c>
      <c r="C10" s="7" t="s">
        <v>595</v>
      </c>
      <c r="D10" s="16" t="s">
        <v>281</v>
      </c>
      <c r="E10" s="7" t="s">
        <v>93</v>
      </c>
      <c r="F10" s="17">
        <v>1</v>
      </c>
      <c r="G10" s="17">
        <v>2</v>
      </c>
      <c r="H10" s="17">
        <v>2</v>
      </c>
      <c r="I10" s="18">
        <f>=说明与总览!$B$19+VALUE(MID($A10,2,1))-1</f>
        <v>46287</v>
      </c>
      <c r="J10" s="17" t="str">
        <f>=IF(AND($G10&lt;=1,$H10&gt;=1),"■■","")</f>
        <v/>
      </c>
      <c r="K10" s="17" t="str">
        <f>=IF(AND($G10&lt;=2,$H10&gt;=2),"■■","")</f>
        <v>■■</v>
      </c>
      <c r="L10" s="17" t="str">
        <f>=IF(AND($G10&lt;=3,$H10&gt;=3),"■■","")</f>
        <v/>
      </c>
      <c r="M10" s="17" t="str">
        <f>=IF(AND($G10&lt;=4,$H10&gt;=4),"■■","")</f>
        <v/>
      </c>
      <c r="N10" s="17" t="str">
        <f>=IF(AND($G10&lt;=5,$H10&gt;=5),"■■","")</f>
        <v/>
      </c>
      <c r="O10" s="17" t="str">
        <f>=IF(AND($G10&lt;=6,$H10&gt;=6),"■■","")</f>
        <v/>
      </c>
      <c r="P10" s="17" t="str">
        <f>=IF(AND($G10&lt;=7,$H10&gt;=7),"■■","")</f>
        <v/>
      </c>
      <c r="Q10" s="17" t="str">
        <f>=IF(AND($G10&lt;=8,$H10&gt;=8),"■■","")</f>
        <v/>
      </c>
      <c r="R10" s="17" t="str">
        <f>=IF(AND($G10&lt;=9,$H10&gt;=9),"■■","")</f>
        <v/>
      </c>
      <c r="S10" s="17" t="str">
        <f>=IF(AND($G10&lt;=10,$H10&gt;=10),"■■","")</f>
        <v/>
      </c>
      <c r="T10" s="7" t="s">
        <v>596</v>
      </c>
      <c r="U10" s="17" t="s">
        <v>580</v>
      </c>
      <c r="V10" s="19">
        <f>=IF($H10&lt;$G10,0,$F10/($H10-$G10+1))</f>
        <v>1</v>
      </c>
    </row>
    <row r="11" spans="1:22" ht="14.25">
      <c r="A11" s="20" t="s">
        <v>206</v>
      </c>
      <c r="B11" s="21">
        <v>8</v>
      </c>
      <c r="C11" s="14" t="s">
        <v>597</v>
      </c>
      <c r="D11" s="20" t="s">
        <v>281</v>
      </c>
      <c r="E11" s="14" t="s">
        <v>598</v>
      </c>
      <c r="F11" s="21">
        <v>1</v>
      </c>
      <c r="G11" s="21">
        <v>2</v>
      </c>
      <c r="H11" s="21">
        <v>2</v>
      </c>
      <c r="I11" s="22">
        <f>=说明与总览!$B$19+VALUE(MID($A11,2,1))-1</f>
        <v>46287</v>
      </c>
      <c r="J11" s="21" t="str">
        <f>=IF(AND($G11&lt;=1,$H11&gt;=1),"■■","")</f>
        <v/>
      </c>
      <c r="K11" s="21" t="str">
        <f>=IF(AND($G11&lt;=2,$H11&gt;=2),"■■","")</f>
        <v>■■</v>
      </c>
      <c r="L11" s="21" t="str">
        <f>=IF(AND($G11&lt;=3,$H11&gt;=3),"■■","")</f>
        <v/>
      </c>
      <c r="M11" s="21" t="str">
        <f>=IF(AND($G11&lt;=4,$H11&gt;=4),"■■","")</f>
        <v/>
      </c>
      <c r="N11" s="21" t="str">
        <f>=IF(AND($G11&lt;=5,$H11&gt;=5),"■■","")</f>
        <v/>
      </c>
      <c r="O11" s="21" t="str">
        <f>=IF(AND($G11&lt;=6,$H11&gt;=6),"■■","")</f>
        <v/>
      </c>
      <c r="P11" s="21" t="str">
        <f>=IF(AND($G11&lt;=7,$H11&gt;=7),"■■","")</f>
        <v/>
      </c>
      <c r="Q11" s="21" t="str">
        <f>=IF(AND($G11&lt;=8,$H11&gt;=8),"■■","")</f>
        <v/>
      </c>
      <c r="R11" s="21" t="str">
        <f>=IF(AND($G11&lt;=9,$H11&gt;=9),"■■","")</f>
        <v/>
      </c>
      <c r="S11" s="21" t="str">
        <f>=IF(AND($G11&lt;=10,$H11&gt;=10),"■■","")</f>
        <v/>
      </c>
      <c r="T11" s="14" t="s">
        <v>599</v>
      </c>
      <c r="U11" s="21" t="s">
        <v>580</v>
      </c>
      <c r="V11" s="23">
        <f>=IF($H11&lt;$G11,0,$F11/($H11-$G11+1))</f>
        <v>1</v>
      </c>
    </row>
    <row r="12" spans="1:22" ht="14.25">
      <c r="A12" s="16" t="s">
        <v>206</v>
      </c>
      <c r="B12" s="17">
        <v>9</v>
      </c>
      <c r="C12" s="7" t="s">
        <v>600</v>
      </c>
      <c r="D12" s="16" t="s">
        <v>281</v>
      </c>
      <c r="E12" s="7" t="s">
        <v>598</v>
      </c>
      <c r="F12" s="17">
        <v>2</v>
      </c>
      <c r="G12" s="17">
        <v>2</v>
      </c>
      <c r="H12" s="17">
        <v>2</v>
      </c>
      <c r="I12" s="18">
        <f>=说明与总览!$B$19+VALUE(MID($A12,2,1))-1</f>
        <v>46287</v>
      </c>
      <c r="J12" s="17" t="str">
        <f>=IF(AND($G12&lt;=1,$H12&gt;=1),"■■","")</f>
        <v/>
      </c>
      <c r="K12" s="17" t="str">
        <f>=IF(AND($G12&lt;=2,$H12&gt;=2),"■■","")</f>
        <v>■■</v>
      </c>
      <c r="L12" s="17" t="str">
        <f>=IF(AND($G12&lt;=3,$H12&gt;=3),"■■","")</f>
        <v/>
      </c>
      <c r="M12" s="17" t="str">
        <f>=IF(AND($G12&lt;=4,$H12&gt;=4),"■■","")</f>
        <v/>
      </c>
      <c r="N12" s="17" t="str">
        <f>=IF(AND($G12&lt;=5,$H12&gt;=5),"■■","")</f>
        <v/>
      </c>
      <c r="O12" s="17" t="str">
        <f>=IF(AND($G12&lt;=6,$H12&gt;=6),"■■","")</f>
        <v/>
      </c>
      <c r="P12" s="17" t="str">
        <f>=IF(AND($G12&lt;=7,$H12&gt;=7),"■■","")</f>
        <v/>
      </c>
      <c r="Q12" s="17" t="str">
        <f>=IF(AND($G12&lt;=8,$H12&gt;=8),"■■","")</f>
        <v/>
      </c>
      <c r="R12" s="17" t="str">
        <f>=IF(AND($G12&lt;=9,$H12&gt;=9),"■■","")</f>
        <v/>
      </c>
      <c r="S12" s="17" t="str">
        <f>=IF(AND($G12&lt;=10,$H12&gt;=10),"■■","")</f>
        <v/>
      </c>
      <c r="T12" s="7" t="s">
        <v>601</v>
      </c>
      <c r="U12" s="17" t="s">
        <v>580</v>
      </c>
      <c r="V12" s="19">
        <f>=IF($H12&lt;$G12,0,$F12/($H12-$G12+1))</f>
        <v>2</v>
      </c>
    </row>
    <row r="13" spans="1:22" ht="14.25">
      <c r="A13" s="20" t="s">
        <v>261</v>
      </c>
      <c r="B13" s="21">
        <v>10</v>
      </c>
      <c r="C13" s="14" t="s">
        <v>602</v>
      </c>
      <c r="D13" s="20" t="s">
        <v>207</v>
      </c>
      <c r="E13" s="14" t="s">
        <v>603</v>
      </c>
      <c r="F13" s="21">
        <v>2</v>
      </c>
      <c r="G13" s="21">
        <v>3</v>
      </c>
      <c r="H13" s="21">
        <v>3</v>
      </c>
      <c r="I13" s="22">
        <f>=说明与总览!$B$19+VALUE(MID($A13,2,1))-1</f>
        <v>46288</v>
      </c>
      <c r="J13" s="21" t="str">
        <f>=IF(AND($G13&lt;=1,$H13&gt;=1),"■■","")</f>
        <v/>
      </c>
      <c r="K13" s="21" t="str">
        <f>=IF(AND($G13&lt;=2,$H13&gt;=2),"■■","")</f>
        <v/>
      </c>
      <c r="L13" s="21" t="str">
        <f>=IF(AND($G13&lt;=3,$H13&gt;=3),"■■","")</f>
        <v>■■</v>
      </c>
      <c r="M13" s="21" t="str">
        <f>=IF(AND($G13&lt;=4,$H13&gt;=4),"■■","")</f>
        <v/>
      </c>
      <c r="N13" s="21" t="str">
        <f>=IF(AND($G13&lt;=5,$H13&gt;=5),"■■","")</f>
        <v/>
      </c>
      <c r="O13" s="21" t="str">
        <f>=IF(AND($G13&lt;=6,$H13&gt;=6),"■■","")</f>
        <v/>
      </c>
      <c r="P13" s="21" t="str">
        <f>=IF(AND($G13&lt;=7,$H13&gt;=7),"■■","")</f>
        <v/>
      </c>
      <c r="Q13" s="21" t="str">
        <f>=IF(AND($G13&lt;=8,$H13&gt;=8),"■■","")</f>
        <v/>
      </c>
      <c r="R13" s="21" t="str">
        <f>=IF(AND($G13&lt;=9,$H13&gt;=9),"■■","")</f>
        <v/>
      </c>
      <c r="S13" s="21" t="str">
        <f>=IF(AND($G13&lt;=10,$H13&gt;=10),"■■","")</f>
        <v/>
      </c>
      <c r="T13" s="14" t="s">
        <v>604</v>
      </c>
      <c r="U13" s="21" t="s">
        <v>580</v>
      </c>
      <c r="V13" s="23">
        <f>=IF($H13&lt;$G13,0,$F13/($H13-$G13+1))</f>
        <v>2</v>
      </c>
    </row>
    <row r="14" spans="1:22" ht="28.5">
      <c r="A14" s="16" t="s">
        <v>261</v>
      </c>
      <c r="B14" s="17">
        <v>11</v>
      </c>
      <c r="C14" s="7" t="s">
        <v>605</v>
      </c>
      <c r="D14" s="16" t="s">
        <v>207</v>
      </c>
      <c r="E14" s="7" t="s">
        <v>128</v>
      </c>
      <c r="F14" s="17">
        <v>4</v>
      </c>
      <c r="G14" s="17">
        <v>3</v>
      </c>
      <c r="H14" s="17">
        <v>4</v>
      </c>
      <c r="I14" s="18">
        <f>=说明与总览!$B$19+VALUE(MID($A14,2,1))-1</f>
        <v>46288</v>
      </c>
      <c r="J14" s="17" t="str">
        <f>=IF(AND($G14&lt;=1,$H14&gt;=1),"■■","")</f>
        <v/>
      </c>
      <c r="K14" s="17" t="str">
        <f>=IF(AND($G14&lt;=2,$H14&gt;=2),"■■","")</f>
        <v/>
      </c>
      <c r="L14" s="17" t="str">
        <f>=IF(AND($G14&lt;=3,$H14&gt;=3),"■■","")</f>
        <v>■■</v>
      </c>
      <c r="M14" s="17" t="str">
        <f>=IF(AND($G14&lt;=4,$H14&gt;=4),"■■","")</f>
        <v>■■</v>
      </c>
      <c r="N14" s="17" t="str">
        <f>=IF(AND($G14&lt;=5,$H14&gt;=5),"■■","")</f>
        <v/>
      </c>
      <c r="O14" s="17" t="str">
        <f>=IF(AND($G14&lt;=6,$H14&gt;=6),"■■","")</f>
        <v/>
      </c>
      <c r="P14" s="17" t="str">
        <f>=IF(AND($G14&lt;=7,$H14&gt;=7),"■■","")</f>
        <v/>
      </c>
      <c r="Q14" s="17" t="str">
        <f>=IF(AND($G14&lt;=8,$H14&gt;=8),"■■","")</f>
        <v/>
      </c>
      <c r="R14" s="17" t="str">
        <f>=IF(AND($G14&lt;=9,$H14&gt;=9),"■■","")</f>
        <v/>
      </c>
      <c r="S14" s="17" t="str">
        <f>=IF(AND($G14&lt;=10,$H14&gt;=10),"■■","")</f>
        <v/>
      </c>
      <c r="T14" s="7" t="s">
        <v>606</v>
      </c>
      <c r="U14" s="17" t="s">
        <v>580</v>
      </c>
      <c r="V14" s="19">
        <f>=IF($H14&lt;$G14,0,$F14/($H14-$G14+1))</f>
        <v>2</v>
      </c>
    </row>
    <row r="15" spans="1:22" ht="14.25">
      <c r="A15" s="20" t="s">
        <v>261</v>
      </c>
      <c r="B15" s="21">
        <v>12</v>
      </c>
      <c r="C15" s="14" t="s">
        <v>607</v>
      </c>
      <c r="D15" s="20" t="s">
        <v>207</v>
      </c>
      <c r="E15" s="14" t="s">
        <v>603</v>
      </c>
      <c r="F15" s="21">
        <v>2</v>
      </c>
      <c r="G15" s="21">
        <v>4</v>
      </c>
      <c r="H15" s="21">
        <v>4</v>
      </c>
      <c r="I15" s="22">
        <f>=说明与总览!$B$19+VALUE(MID($A15,2,1))-1</f>
        <v>46288</v>
      </c>
      <c r="J15" s="21" t="str">
        <f>=IF(AND($G15&lt;=1,$H15&gt;=1),"■■","")</f>
        <v/>
      </c>
      <c r="K15" s="21" t="str">
        <f>=IF(AND($G15&lt;=2,$H15&gt;=2),"■■","")</f>
        <v/>
      </c>
      <c r="L15" s="21" t="str">
        <f>=IF(AND($G15&lt;=3,$H15&gt;=3),"■■","")</f>
        <v/>
      </c>
      <c r="M15" s="21" t="str">
        <f>=IF(AND($G15&lt;=4,$H15&gt;=4),"■■","")</f>
        <v>■■</v>
      </c>
      <c r="N15" s="21" t="str">
        <f>=IF(AND($G15&lt;=5,$H15&gt;=5),"■■","")</f>
        <v/>
      </c>
      <c r="O15" s="21" t="str">
        <f>=IF(AND($G15&lt;=6,$H15&gt;=6),"■■","")</f>
        <v/>
      </c>
      <c r="P15" s="21" t="str">
        <f>=IF(AND($G15&lt;=7,$H15&gt;=7),"■■","")</f>
        <v/>
      </c>
      <c r="Q15" s="21" t="str">
        <f>=IF(AND($G15&lt;=8,$H15&gt;=8),"■■","")</f>
        <v/>
      </c>
      <c r="R15" s="21" t="str">
        <f>=IF(AND($G15&lt;=9,$H15&gt;=9),"■■","")</f>
        <v/>
      </c>
      <c r="S15" s="21" t="str">
        <f>=IF(AND($G15&lt;=10,$H15&gt;=10),"■■","")</f>
        <v/>
      </c>
      <c r="T15" s="14" t="s">
        <v>608</v>
      </c>
      <c r="U15" s="21" t="s">
        <v>580</v>
      </c>
      <c r="V15" s="23">
        <f>=IF($H15&lt;$G15,0,$F15/($H15-$G15+1))</f>
        <v>2</v>
      </c>
    </row>
    <row r="16" spans="1:22" ht="14.25">
      <c r="A16" s="16" t="s">
        <v>261</v>
      </c>
      <c r="B16" s="17">
        <v>13</v>
      </c>
      <c r="C16" s="7" t="s">
        <v>609</v>
      </c>
      <c r="D16" s="16" t="s">
        <v>281</v>
      </c>
      <c r="E16" s="7" t="s">
        <v>93</v>
      </c>
      <c r="F16" s="17">
        <v>1</v>
      </c>
      <c r="G16" s="17">
        <v>3</v>
      </c>
      <c r="H16" s="17">
        <v>3</v>
      </c>
      <c r="I16" s="18">
        <f>=说明与总览!$B$19+VALUE(MID($A16,2,1))-1</f>
        <v>46288</v>
      </c>
      <c r="J16" s="17" t="str">
        <f>=IF(AND($G16&lt;=1,$H16&gt;=1),"■■","")</f>
        <v/>
      </c>
      <c r="K16" s="17" t="str">
        <f>=IF(AND($G16&lt;=2,$H16&gt;=2),"■■","")</f>
        <v/>
      </c>
      <c r="L16" s="17" t="str">
        <f>=IF(AND($G16&lt;=3,$H16&gt;=3),"■■","")</f>
        <v>■■</v>
      </c>
      <c r="M16" s="17" t="str">
        <f>=IF(AND($G16&lt;=4,$H16&gt;=4),"■■","")</f>
        <v/>
      </c>
      <c r="N16" s="17" t="str">
        <f>=IF(AND($G16&lt;=5,$H16&gt;=5),"■■","")</f>
        <v/>
      </c>
      <c r="O16" s="17" t="str">
        <f>=IF(AND($G16&lt;=6,$H16&gt;=6),"■■","")</f>
        <v/>
      </c>
      <c r="P16" s="17" t="str">
        <f>=IF(AND($G16&lt;=7,$H16&gt;=7),"■■","")</f>
        <v/>
      </c>
      <c r="Q16" s="17" t="str">
        <f>=IF(AND($G16&lt;=8,$H16&gt;=8),"■■","")</f>
        <v/>
      </c>
      <c r="R16" s="17" t="str">
        <f>=IF(AND($G16&lt;=9,$H16&gt;=9),"■■","")</f>
        <v/>
      </c>
      <c r="S16" s="17" t="str">
        <f>=IF(AND($G16&lt;=10,$H16&gt;=10),"■■","")</f>
        <v/>
      </c>
      <c r="T16" s="7" t="s">
        <v>610</v>
      </c>
      <c r="U16" s="17" t="s">
        <v>580</v>
      </c>
      <c r="V16" s="19">
        <f>=IF($H16&lt;$G16,0,$F16/($H16-$G16+1))</f>
        <v>1</v>
      </c>
    </row>
    <row r="17" spans="1:22" ht="14.25">
      <c r="A17" s="20" t="s">
        <v>261</v>
      </c>
      <c r="B17" s="21">
        <v>14</v>
      </c>
      <c r="C17" s="14" t="s">
        <v>611</v>
      </c>
      <c r="D17" s="20" t="s">
        <v>281</v>
      </c>
      <c r="E17" s="14" t="s">
        <v>612</v>
      </c>
      <c r="F17" s="21">
        <v>1</v>
      </c>
      <c r="G17" s="21">
        <v>3</v>
      </c>
      <c r="H17" s="21">
        <v>3</v>
      </c>
      <c r="I17" s="22">
        <f>=说明与总览!$B$19+VALUE(MID($A17,2,1))-1</f>
        <v>46288</v>
      </c>
      <c r="J17" s="21" t="str">
        <f>=IF(AND($G17&lt;=1,$H17&gt;=1),"■■","")</f>
        <v/>
      </c>
      <c r="K17" s="21" t="str">
        <f>=IF(AND($G17&lt;=2,$H17&gt;=2),"■■","")</f>
        <v/>
      </c>
      <c r="L17" s="21" t="str">
        <f>=IF(AND($G17&lt;=3,$H17&gt;=3),"■■","")</f>
        <v>■■</v>
      </c>
      <c r="M17" s="21" t="str">
        <f>=IF(AND($G17&lt;=4,$H17&gt;=4),"■■","")</f>
        <v/>
      </c>
      <c r="N17" s="21" t="str">
        <f>=IF(AND($G17&lt;=5,$H17&gt;=5),"■■","")</f>
        <v/>
      </c>
      <c r="O17" s="21" t="str">
        <f>=IF(AND($G17&lt;=6,$H17&gt;=6),"■■","")</f>
        <v/>
      </c>
      <c r="P17" s="21" t="str">
        <f>=IF(AND($G17&lt;=7,$H17&gt;=7),"■■","")</f>
        <v/>
      </c>
      <c r="Q17" s="21" t="str">
        <f>=IF(AND($G17&lt;=8,$H17&gt;=8),"■■","")</f>
        <v/>
      </c>
      <c r="R17" s="21" t="str">
        <f>=IF(AND($G17&lt;=9,$H17&gt;=9),"■■","")</f>
        <v/>
      </c>
      <c r="S17" s="21" t="str">
        <f>=IF(AND($G17&lt;=10,$H17&gt;=10),"■■","")</f>
        <v/>
      </c>
      <c r="T17" s="14" t="s">
        <v>613</v>
      </c>
      <c r="U17" s="21" t="s">
        <v>580</v>
      </c>
      <c r="V17" s="23">
        <f>=IF($H17&lt;$G17,0,$F17/($H17-$G17+1))</f>
        <v>1</v>
      </c>
    </row>
    <row r="18" spans="1:22" ht="14.25">
      <c r="A18" s="16" t="s">
        <v>261</v>
      </c>
      <c r="B18" s="17">
        <v>15</v>
      </c>
      <c r="C18" s="7" t="s">
        <v>614</v>
      </c>
      <c r="D18" s="16" t="s">
        <v>281</v>
      </c>
      <c r="E18" s="7" t="s">
        <v>615</v>
      </c>
      <c r="F18" s="17">
        <v>1</v>
      </c>
      <c r="G18" s="17">
        <v>3</v>
      </c>
      <c r="H18" s="17">
        <v>3</v>
      </c>
      <c r="I18" s="18">
        <f>=说明与总览!$B$19+VALUE(MID($A18,2,1))-1</f>
        <v>46288</v>
      </c>
      <c r="J18" s="17" t="str">
        <f>=IF(AND($G18&lt;=1,$H18&gt;=1),"■■","")</f>
        <v/>
      </c>
      <c r="K18" s="17" t="str">
        <f>=IF(AND($G18&lt;=2,$H18&gt;=2),"■■","")</f>
        <v/>
      </c>
      <c r="L18" s="17" t="str">
        <f>=IF(AND($G18&lt;=3,$H18&gt;=3),"■■","")</f>
        <v>■■</v>
      </c>
      <c r="M18" s="17" t="str">
        <f>=IF(AND($G18&lt;=4,$H18&gt;=4),"■■","")</f>
        <v/>
      </c>
      <c r="N18" s="17" t="str">
        <f>=IF(AND($G18&lt;=5,$H18&gt;=5),"■■","")</f>
        <v/>
      </c>
      <c r="O18" s="17" t="str">
        <f>=IF(AND($G18&lt;=6,$H18&gt;=6),"■■","")</f>
        <v/>
      </c>
      <c r="P18" s="17" t="str">
        <f>=IF(AND($G18&lt;=7,$H18&gt;=7),"■■","")</f>
        <v/>
      </c>
      <c r="Q18" s="17" t="str">
        <f>=IF(AND($G18&lt;=8,$H18&gt;=8),"■■","")</f>
        <v/>
      </c>
      <c r="R18" s="17" t="str">
        <f>=IF(AND($G18&lt;=9,$H18&gt;=9),"■■","")</f>
        <v/>
      </c>
      <c r="S18" s="17" t="str">
        <f>=IF(AND($G18&lt;=10,$H18&gt;=10),"■■","")</f>
        <v/>
      </c>
      <c r="T18" s="7" t="s">
        <v>616</v>
      </c>
      <c r="U18" s="17" t="s">
        <v>580</v>
      </c>
      <c r="V18" s="19">
        <f>=IF($H18&lt;$G18,0,$F18/($H18-$G18+1))</f>
        <v>1</v>
      </c>
    </row>
    <row r="19" spans="1:22" ht="14.25">
      <c r="A19" s="20" t="s">
        <v>261</v>
      </c>
      <c r="B19" s="21">
        <v>16</v>
      </c>
      <c r="C19" s="14" t="s">
        <v>617</v>
      </c>
      <c r="D19" s="20" t="s">
        <v>281</v>
      </c>
      <c r="E19" s="14" t="s">
        <v>618</v>
      </c>
      <c r="F19" s="21">
        <v>1</v>
      </c>
      <c r="G19" s="21">
        <v>3</v>
      </c>
      <c r="H19" s="21">
        <v>3</v>
      </c>
      <c r="I19" s="22">
        <f>=说明与总览!$B$19+VALUE(MID($A19,2,1))-1</f>
        <v>46288</v>
      </c>
      <c r="J19" s="21" t="str">
        <f>=IF(AND($G19&lt;=1,$H19&gt;=1),"■■","")</f>
        <v/>
      </c>
      <c r="K19" s="21" t="str">
        <f>=IF(AND($G19&lt;=2,$H19&gt;=2),"■■","")</f>
        <v/>
      </c>
      <c r="L19" s="21" t="str">
        <f>=IF(AND($G19&lt;=3,$H19&gt;=3),"■■","")</f>
        <v>■■</v>
      </c>
      <c r="M19" s="21" t="str">
        <f>=IF(AND($G19&lt;=4,$H19&gt;=4),"■■","")</f>
        <v/>
      </c>
      <c r="N19" s="21" t="str">
        <f>=IF(AND($G19&lt;=5,$H19&gt;=5),"■■","")</f>
        <v/>
      </c>
      <c r="O19" s="21" t="str">
        <f>=IF(AND($G19&lt;=6,$H19&gt;=6),"■■","")</f>
        <v/>
      </c>
      <c r="P19" s="21" t="str">
        <f>=IF(AND($G19&lt;=7,$H19&gt;=7),"■■","")</f>
        <v/>
      </c>
      <c r="Q19" s="21" t="str">
        <f>=IF(AND($G19&lt;=8,$H19&gt;=8),"■■","")</f>
        <v/>
      </c>
      <c r="R19" s="21" t="str">
        <f>=IF(AND($G19&lt;=9,$H19&gt;=9),"■■","")</f>
        <v/>
      </c>
      <c r="S19" s="21" t="str">
        <f>=IF(AND($G19&lt;=10,$H19&gt;=10),"■■","")</f>
        <v/>
      </c>
      <c r="T19" s="14" t="s">
        <v>619</v>
      </c>
      <c r="U19" s="21" t="s">
        <v>580</v>
      </c>
      <c r="V19" s="23">
        <f>=IF($H19&lt;$G19,0,$F19/($H19-$G19+1))</f>
        <v>1</v>
      </c>
    </row>
    <row r="20" spans="1:22" ht="28.5">
      <c r="A20" s="16" t="s">
        <v>261</v>
      </c>
      <c r="B20" s="17">
        <v>17</v>
      </c>
      <c r="C20" s="7" t="s">
        <v>620</v>
      </c>
      <c r="D20" s="16" t="s">
        <v>281</v>
      </c>
      <c r="E20" s="7" t="s">
        <v>128</v>
      </c>
      <c r="F20" s="17">
        <v>2</v>
      </c>
      <c r="G20" s="17">
        <v>4</v>
      </c>
      <c r="H20" s="17">
        <v>4</v>
      </c>
      <c r="I20" s="18">
        <f>=说明与总览!$B$19+VALUE(MID($A20,2,1))-1</f>
        <v>46288</v>
      </c>
      <c r="J20" s="17" t="str">
        <f>=IF(AND($G20&lt;=1,$H20&gt;=1),"■■","")</f>
        <v/>
      </c>
      <c r="K20" s="17" t="str">
        <f>=IF(AND($G20&lt;=2,$H20&gt;=2),"■■","")</f>
        <v/>
      </c>
      <c r="L20" s="17" t="str">
        <f>=IF(AND($G20&lt;=3,$H20&gt;=3),"■■","")</f>
        <v/>
      </c>
      <c r="M20" s="17" t="str">
        <f>=IF(AND($G20&lt;=4,$H20&gt;=4),"■■","")</f>
        <v>■■</v>
      </c>
      <c r="N20" s="17" t="str">
        <f>=IF(AND($G20&lt;=5,$H20&gt;=5),"■■","")</f>
        <v/>
      </c>
      <c r="O20" s="17" t="str">
        <f>=IF(AND($G20&lt;=6,$H20&gt;=6),"■■","")</f>
        <v/>
      </c>
      <c r="P20" s="17" t="str">
        <f>=IF(AND($G20&lt;=7,$H20&gt;=7),"■■","")</f>
        <v/>
      </c>
      <c r="Q20" s="17" t="str">
        <f>=IF(AND($G20&lt;=8,$H20&gt;=8),"■■","")</f>
        <v/>
      </c>
      <c r="R20" s="17" t="str">
        <f>=IF(AND($G20&lt;=9,$H20&gt;=9),"■■","")</f>
        <v/>
      </c>
      <c r="S20" s="17" t="str">
        <f>=IF(AND($G20&lt;=10,$H20&gt;=10),"■■","")</f>
        <v/>
      </c>
      <c r="T20" s="7" t="s">
        <v>621</v>
      </c>
      <c r="U20" s="17" t="s">
        <v>580</v>
      </c>
      <c r="V20" s="19">
        <f>=IF($H20&lt;$G20,0,$F20/($H20-$G20+1))</f>
        <v>2</v>
      </c>
    </row>
    <row r="21" spans="1:22" ht="28.5">
      <c r="A21" s="20" t="s">
        <v>261</v>
      </c>
      <c r="B21" s="21">
        <v>18</v>
      </c>
      <c r="C21" s="14" t="s">
        <v>622</v>
      </c>
      <c r="D21" s="20" t="s">
        <v>281</v>
      </c>
      <c r="E21" s="14" t="s">
        <v>623</v>
      </c>
      <c r="F21" s="21">
        <v>2</v>
      </c>
      <c r="G21" s="21">
        <v>4</v>
      </c>
      <c r="H21" s="21">
        <v>4</v>
      </c>
      <c r="I21" s="22">
        <f>=说明与总览!$B$19+VALUE(MID($A21,2,1))-1</f>
        <v>46288</v>
      </c>
      <c r="J21" s="21" t="str">
        <f>=IF(AND($G21&lt;=1,$H21&gt;=1),"■■","")</f>
        <v/>
      </c>
      <c r="K21" s="21" t="str">
        <f>=IF(AND($G21&lt;=2,$H21&gt;=2),"■■","")</f>
        <v/>
      </c>
      <c r="L21" s="21" t="str">
        <f>=IF(AND($G21&lt;=3,$H21&gt;=3),"■■","")</f>
        <v/>
      </c>
      <c r="M21" s="21" t="str">
        <f>=IF(AND($G21&lt;=4,$H21&gt;=4),"■■","")</f>
        <v>■■</v>
      </c>
      <c r="N21" s="21" t="str">
        <f>=IF(AND($G21&lt;=5,$H21&gt;=5),"■■","")</f>
        <v/>
      </c>
      <c r="O21" s="21" t="str">
        <f>=IF(AND($G21&lt;=6,$H21&gt;=6),"■■","")</f>
        <v/>
      </c>
      <c r="P21" s="21" t="str">
        <f>=IF(AND($G21&lt;=7,$H21&gt;=7),"■■","")</f>
        <v/>
      </c>
      <c r="Q21" s="21" t="str">
        <f>=IF(AND($G21&lt;=8,$H21&gt;=8),"■■","")</f>
        <v/>
      </c>
      <c r="R21" s="21" t="str">
        <f>=IF(AND($G21&lt;=9,$H21&gt;=9),"■■","")</f>
        <v/>
      </c>
      <c r="S21" s="21" t="str">
        <f>=IF(AND($G21&lt;=10,$H21&gt;=10),"■■","")</f>
        <v/>
      </c>
      <c r="T21" s="14" t="s">
        <v>624</v>
      </c>
      <c r="U21" s="21" t="s">
        <v>580</v>
      </c>
      <c r="V21" s="23">
        <f>=IF($H21&lt;$G21,0,$F21/($H21-$G21+1))</f>
        <v>2</v>
      </c>
    </row>
    <row r="22" spans="1:22" ht="14.25">
      <c r="A22" s="16" t="s">
        <v>237</v>
      </c>
      <c r="B22" s="17">
        <v>19</v>
      </c>
      <c r="C22" s="7" t="s">
        <v>625</v>
      </c>
      <c r="D22" s="16" t="s">
        <v>207</v>
      </c>
      <c r="E22" s="7" t="s">
        <v>626</v>
      </c>
      <c r="F22" s="17">
        <v>3</v>
      </c>
      <c r="G22" s="17">
        <v>5</v>
      </c>
      <c r="H22" s="17">
        <v>5</v>
      </c>
      <c r="I22" s="18">
        <f>=说明与总览!$B$19+VALUE(MID($A22,2,1))-1</f>
        <v>46289</v>
      </c>
      <c r="J22" s="17" t="str">
        <f>=IF(AND($G22&lt;=1,$H22&gt;=1),"■■","")</f>
        <v/>
      </c>
      <c r="K22" s="17" t="str">
        <f>=IF(AND($G22&lt;=2,$H22&gt;=2),"■■","")</f>
        <v/>
      </c>
      <c r="L22" s="17" t="str">
        <f>=IF(AND($G22&lt;=3,$H22&gt;=3),"■■","")</f>
        <v/>
      </c>
      <c r="M22" s="17" t="str">
        <f>=IF(AND($G22&lt;=4,$H22&gt;=4),"■■","")</f>
        <v/>
      </c>
      <c r="N22" s="17" t="str">
        <f>=IF(AND($G22&lt;=5,$H22&gt;=5),"■■","")</f>
        <v>■■</v>
      </c>
      <c r="O22" s="17" t="str">
        <f>=IF(AND($G22&lt;=6,$H22&gt;=6),"■■","")</f>
        <v/>
      </c>
      <c r="P22" s="17" t="str">
        <f>=IF(AND($G22&lt;=7,$H22&gt;=7),"■■","")</f>
        <v/>
      </c>
      <c r="Q22" s="17" t="str">
        <f>=IF(AND($G22&lt;=8,$H22&gt;=8),"■■","")</f>
        <v/>
      </c>
      <c r="R22" s="17" t="str">
        <f>=IF(AND($G22&lt;=9,$H22&gt;=9),"■■","")</f>
        <v/>
      </c>
      <c r="S22" s="17" t="str">
        <f>=IF(AND($G22&lt;=10,$H22&gt;=10),"■■","")</f>
        <v/>
      </c>
      <c r="T22" s="7" t="s">
        <v>627</v>
      </c>
      <c r="U22" s="17" t="s">
        <v>580</v>
      </c>
      <c r="V22" s="19">
        <f>=IF($H22&lt;$G22,0,$F22/($H22-$G22+1))</f>
        <v>3</v>
      </c>
    </row>
    <row r="23" spans="1:22" ht="14.25">
      <c r="A23" s="20" t="s">
        <v>237</v>
      </c>
      <c r="B23" s="21">
        <v>20</v>
      </c>
      <c r="C23" s="14" t="s">
        <v>628</v>
      </c>
      <c r="D23" s="20" t="s">
        <v>207</v>
      </c>
      <c r="E23" s="14" t="s">
        <v>179</v>
      </c>
      <c r="F23" s="21">
        <v>1</v>
      </c>
      <c r="G23" s="21">
        <v>5</v>
      </c>
      <c r="H23" s="21">
        <v>5</v>
      </c>
      <c r="I23" s="22">
        <f>=说明与总览!$B$19+VALUE(MID($A23,2,1))-1</f>
        <v>46289</v>
      </c>
      <c r="J23" s="21" t="str">
        <f>=IF(AND($G23&lt;=1,$H23&gt;=1),"■■","")</f>
        <v/>
      </c>
      <c r="K23" s="21" t="str">
        <f>=IF(AND($G23&lt;=2,$H23&gt;=2),"■■","")</f>
        <v/>
      </c>
      <c r="L23" s="21" t="str">
        <f>=IF(AND($G23&lt;=3,$H23&gt;=3),"■■","")</f>
        <v/>
      </c>
      <c r="M23" s="21" t="str">
        <f>=IF(AND($G23&lt;=4,$H23&gt;=4),"■■","")</f>
        <v/>
      </c>
      <c r="N23" s="21" t="str">
        <f>=IF(AND($G23&lt;=5,$H23&gt;=5),"■■","")</f>
        <v>■■</v>
      </c>
      <c r="O23" s="21" t="str">
        <f>=IF(AND($G23&lt;=6,$H23&gt;=6),"■■","")</f>
        <v/>
      </c>
      <c r="P23" s="21" t="str">
        <f>=IF(AND($G23&lt;=7,$H23&gt;=7),"■■","")</f>
        <v/>
      </c>
      <c r="Q23" s="21" t="str">
        <f>=IF(AND($G23&lt;=8,$H23&gt;=8),"■■","")</f>
        <v/>
      </c>
      <c r="R23" s="21" t="str">
        <f>=IF(AND($G23&lt;=9,$H23&gt;=9),"■■","")</f>
        <v/>
      </c>
      <c r="S23" s="21" t="str">
        <f>=IF(AND($G23&lt;=10,$H23&gt;=10),"■■","")</f>
        <v/>
      </c>
      <c r="T23" s="14" t="s">
        <v>629</v>
      </c>
      <c r="U23" s="21" t="s">
        <v>580</v>
      </c>
      <c r="V23" s="23">
        <f>=IF($H23&lt;$G23,0,$F23/($H23-$G23+1))</f>
        <v>1</v>
      </c>
    </row>
    <row r="24" spans="1:22" ht="14.25">
      <c r="A24" s="16" t="s">
        <v>237</v>
      </c>
      <c r="B24" s="17">
        <v>21</v>
      </c>
      <c r="C24" s="7" t="s">
        <v>630</v>
      </c>
      <c r="D24" s="16" t="s">
        <v>207</v>
      </c>
      <c r="E24" s="7" t="s">
        <v>179</v>
      </c>
      <c r="F24" s="17">
        <v>2</v>
      </c>
      <c r="G24" s="17">
        <v>6</v>
      </c>
      <c r="H24" s="17">
        <v>6</v>
      </c>
      <c r="I24" s="18">
        <f>=说明与总览!$B$19+VALUE(MID($A24,2,1))-1</f>
        <v>46289</v>
      </c>
      <c r="J24" s="17" t="str">
        <f>=IF(AND($G24&lt;=1,$H24&gt;=1),"■■","")</f>
        <v/>
      </c>
      <c r="K24" s="17" t="str">
        <f>=IF(AND($G24&lt;=2,$H24&gt;=2),"■■","")</f>
        <v/>
      </c>
      <c r="L24" s="17" t="str">
        <f>=IF(AND($G24&lt;=3,$H24&gt;=3),"■■","")</f>
        <v/>
      </c>
      <c r="M24" s="17" t="str">
        <f>=IF(AND($G24&lt;=4,$H24&gt;=4),"■■","")</f>
        <v/>
      </c>
      <c r="N24" s="17" t="str">
        <f>=IF(AND($G24&lt;=5,$H24&gt;=5),"■■","")</f>
        <v/>
      </c>
      <c r="O24" s="17" t="str">
        <f>=IF(AND($G24&lt;=6,$H24&gt;=6),"■■","")</f>
        <v>■■</v>
      </c>
      <c r="P24" s="17" t="str">
        <f>=IF(AND($G24&lt;=7,$H24&gt;=7),"■■","")</f>
        <v/>
      </c>
      <c r="Q24" s="17" t="str">
        <f>=IF(AND($G24&lt;=8,$H24&gt;=8),"■■","")</f>
        <v/>
      </c>
      <c r="R24" s="17" t="str">
        <f>=IF(AND($G24&lt;=9,$H24&gt;=9),"■■","")</f>
        <v/>
      </c>
      <c r="S24" s="17" t="str">
        <f>=IF(AND($G24&lt;=10,$H24&gt;=10),"■■","")</f>
        <v/>
      </c>
      <c r="T24" s="7" t="s">
        <v>631</v>
      </c>
      <c r="U24" s="17" t="s">
        <v>580</v>
      </c>
      <c r="V24" s="19">
        <f>=IF($H24&lt;$G24,0,$F24/($H24-$G24+1))</f>
        <v>2</v>
      </c>
    </row>
    <row r="25" spans="1:22" ht="14.25">
      <c r="A25" s="20" t="s">
        <v>237</v>
      </c>
      <c r="B25" s="21">
        <v>22</v>
      </c>
      <c r="C25" s="14" t="s">
        <v>632</v>
      </c>
      <c r="D25" s="20" t="s">
        <v>207</v>
      </c>
      <c r="E25" s="14" t="s">
        <v>633</v>
      </c>
      <c r="F25" s="21">
        <v>2</v>
      </c>
      <c r="G25" s="21">
        <v>6</v>
      </c>
      <c r="H25" s="21">
        <v>6</v>
      </c>
      <c r="I25" s="22">
        <f>=说明与总览!$B$19+VALUE(MID($A25,2,1))-1</f>
        <v>46289</v>
      </c>
      <c r="J25" s="21" t="str">
        <f>=IF(AND($G25&lt;=1,$H25&gt;=1),"■■","")</f>
        <v/>
      </c>
      <c r="K25" s="21" t="str">
        <f>=IF(AND($G25&lt;=2,$H25&gt;=2),"■■","")</f>
        <v/>
      </c>
      <c r="L25" s="21" t="str">
        <f>=IF(AND($G25&lt;=3,$H25&gt;=3),"■■","")</f>
        <v/>
      </c>
      <c r="M25" s="21" t="str">
        <f>=IF(AND($G25&lt;=4,$H25&gt;=4),"■■","")</f>
        <v/>
      </c>
      <c r="N25" s="21" t="str">
        <f>=IF(AND($G25&lt;=5,$H25&gt;=5),"■■","")</f>
        <v/>
      </c>
      <c r="O25" s="21" t="str">
        <f>=IF(AND($G25&lt;=6,$H25&gt;=6),"■■","")</f>
        <v>■■</v>
      </c>
      <c r="P25" s="21" t="str">
        <f>=IF(AND($G25&lt;=7,$H25&gt;=7),"■■","")</f>
        <v/>
      </c>
      <c r="Q25" s="21" t="str">
        <f>=IF(AND($G25&lt;=8,$H25&gt;=8),"■■","")</f>
        <v/>
      </c>
      <c r="R25" s="21" t="str">
        <f>=IF(AND($G25&lt;=9,$H25&gt;=9),"■■","")</f>
        <v/>
      </c>
      <c r="S25" s="21" t="str">
        <f>=IF(AND($G25&lt;=10,$H25&gt;=10),"■■","")</f>
        <v/>
      </c>
      <c r="T25" s="14" t="s">
        <v>634</v>
      </c>
      <c r="U25" s="21" t="s">
        <v>580</v>
      </c>
      <c r="V25" s="23">
        <f>=IF($H25&lt;$G25,0,$F25/($H25-$G25+1))</f>
        <v>2</v>
      </c>
    </row>
    <row r="26" spans="1:22" ht="14.25">
      <c r="A26" s="16" t="s">
        <v>237</v>
      </c>
      <c r="B26" s="17">
        <v>23</v>
      </c>
      <c r="C26" s="7" t="s">
        <v>635</v>
      </c>
      <c r="D26" s="16" t="s">
        <v>281</v>
      </c>
      <c r="E26" s="7" t="s">
        <v>172</v>
      </c>
      <c r="F26" s="17">
        <v>8</v>
      </c>
      <c r="G26" s="17">
        <v>5</v>
      </c>
      <c r="H26" s="17">
        <v>6</v>
      </c>
      <c r="I26" s="18">
        <f>=说明与总览!$B$19+VALUE(MID($A26,2,1))-1</f>
        <v>46289</v>
      </c>
      <c r="J26" s="17" t="str">
        <f>=IF(AND($G26&lt;=1,$H26&gt;=1),"■■","")</f>
        <v/>
      </c>
      <c r="K26" s="17" t="str">
        <f>=IF(AND($G26&lt;=2,$H26&gt;=2),"■■","")</f>
        <v/>
      </c>
      <c r="L26" s="17" t="str">
        <f>=IF(AND($G26&lt;=3,$H26&gt;=3),"■■","")</f>
        <v/>
      </c>
      <c r="M26" s="17" t="str">
        <f>=IF(AND($G26&lt;=4,$H26&gt;=4),"■■","")</f>
        <v/>
      </c>
      <c r="N26" s="17" t="str">
        <f>=IF(AND($G26&lt;=5,$H26&gt;=5),"■■","")</f>
        <v>■■</v>
      </c>
      <c r="O26" s="17" t="str">
        <f>=IF(AND($G26&lt;=6,$H26&gt;=6),"■■","")</f>
        <v>■■</v>
      </c>
      <c r="P26" s="17" t="str">
        <f>=IF(AND($G26&lt;=7,$H26&gt;=7),"■■","")</f>
        <v/>
      </c>
      <c r="Q26" s="17" t="str">
        <f>=IF(AND($G26&lt;=8,$H26&gt;=8),"■■","")</f>
        <v/>
      </c>
      <c r="R26" s="17" t="str">
        <f>=IF(AND($G26&lt;=9,$H26&gt;=9),"■■","")</f>
        <v/>
      </c>
      <c r="S26" s="17" t="str">
        <f>=IF(AND($G26&lt;=10,$H26&gt;=10),"■■","")</f>
        <v/>
      </c>
      <c r="T26" s="7" t="s">
        <v>636</v>
      </c>
      <c r="U26" s="17" t="s">
        <v>580</v>
      </c>
      <c r="V26" s="19">
        <f>=IF($H26&lt;$G26,0,$F26/($H26-$G26+1))</f>
        <v>4</v>
      </c>
    </row>
    <row r="27" spans="1:22" ht="14.25">
      <c r="A27" s="20" t="s">
        <v>339</v>
      </c>
      <c r="B27" s="21">
        <v>24</v>
      </c>
      <c r="C27" s="14" t="s">
        <v>637</v>
      </c>
      <c r="D27" s="20" t="s">
        <v>207</v>
      </c>
      <c r="E27" s="14" t="s">
        <v>136</v>
      </c>
      <c r="F27" s="21">
        <v>4</v>
      </c>
      <c r="G27" s="21">
        <v>7</v>
      </c>
      <c r="H27" s="21">
        <v>7</v>
      </c>
      <c r="I27" s="22">
        <f>=说明与总览!$B$19+VALUE(MID($A27,2,1))-1</f>
        <v>46290</v>
      </c>
      <c r="J27" s="21" t="str">
        <f>=IF(AND($G27&lt;=1,$H27&gt;=1),"■■","")</f>
        <v/>
      </c>
      <c r="K27" s="21" t="str">
        <f>=IF(AND($G27&lt;=2,$H27&gt;=2),"■■","")</f>
        <v/>
      </c>
      <c r="L27" s="21" t="str">
        <f>=IF(AND($G27&lt;=3,$H27&gt;=3),"■■","")</f>
        <v/>
      </c>
      <c r="M27" s="21" t="str">
        <f>=IF(AND($G27&lt;=4,$H27&gt;=4),"■■","")</f>
        <v/>
      </c>
      <c r="N27" s="21" t="str">
        <f>=IF(AND($G27&lt;=5,$H27&gt;=5),"■■","")</f>
        <v/>
      </c>
      <c r="O27" s="21" t="str">
        <f>=IF(AND($G27&lt;=6,$H27&gt;=6),"■■","")</f>
        <v/>
      </c>
      <c r="P27" s="21" t="str">
        <f>=IF(AND($G27&lt;=7,$H27&gt;=7),"■■","")</f>
        <v>■■</v>
      </c>
      <c r="Q27" s="21" t="str">
        <f>=IF(AND($G27&lt;=8,$H27&gt;=8),"■■","")</f>
        <v/>
      </c>
      <c r="R27" s="21" t="str">
        <f>=IF(AND($G27&lt;=9,$H27&gt;=9),"■■","")</f>
        <v/>
      </c>
      <c r="S27" s="21" t="str">
        <f>=IF(AND($G27&lt;=10,$H27&gt;=10),"■■","")</f>
        <v/>
      </c>
      <c r="T27" s="14" t="s">
        <v>638</v>
      </c>
      <c r="U27" s="21" t="s">
        <v>580</v>
      </c>
      <c r="V27" s="23">
        <f>=IF($H27&lt;$G27,0,$F27/($H27-$G27+1))</f>
        <v>4</v>
      </c>
    </row>
    <row r="28" spans="1:22" ht="14.25">
      <c r="A28" s="16" t="s">
        <v>339</v>
      </c>
      <c r="B28" s="17">
        <v>25</v>
      </c>
      <c r="C28" s="7" t="s">
        <v>639</v>
      </c>
      <c r="D28" s="16" t="s">
        <v>207</v>
      </c>
      <c r="E28" s="7" t="s">
        <v>640</v>
      </c>
      <c r="F28" s="17">
        <v>2</v>
      </c>
      <c r="G28" s="17">
        <v>8</v>
      </c>
      <c r="H28" s="17">
        <v>8</v>
      </c>
      <c r="I28" s="18">
        <f>=说明与总览!$B$19+VALUE(MID($A28,2,1))-1</f>
        <v>46290</v>
      </c>
      <c r="J28" s="17" t="str">
        <f>=IF(AND($G28&lt;=1,$H28&gt;=1),"■■","")</f>
        <v/>
      </c>
      <c r="K28" s="17" t="str">
        <f>=IF(AND($G28&lt;=2,$H28&gt;=2),"■■","")</f>
        <v/>
      </c>
      <c r="L28" s="17" t="str">
        <f>=IF(AND($G28&lt;=3,$H28&gt;=3),"■■","")</f>
        <v/>
      </c>
      <c r="M28" s="17" t="str">
        <f>=IF(AND($G28&lt;=4,$H28&gt;=4),"■■","")</f>
        <v/>
      </c>
      <c r="N28" s="17" t="str">
        <f>=IF(AND($G28&lt;=5,$H28&gt;=5),"■■","")</f>
        <v/>
      </c>
      <c r="O28" s="17" t="str">
        <f>=IF(AND($G28&lt;=6,$H28&gt;=6),"■■","")</f>
        <v/>
      </c>
      <c r="P28" s="17" t="str">
        <f>=IF(AND($G28&lt;=7,$H28&gt;=7),"■■","")</f>
        <v/>
      </c>
      <c r="Q28" s="17" t="str">
        <f>=IF(AND($G28&lt;=8,$H28&gt;=8),"■■","")</f>
        <v>■■</v>
      </c>
      <c r="R28" s="17" t="str">
        <f>=IF(AND($G28&lt;=9,$H28&gt;=9),"■■","")</f>
        <v/>
      </c>
      <c r="S28" s="17" t="str">
        <f>=IF(AND($G28&lt;=10,$H28&gt;=10),"■■","")</f>
        <v/>
      </c>
      <c r="T28" s="7" t="s">
        <v>641</v>
      </c>
      <c r="U28" s="17" t="s">
        <v>580</v>
      </c>
      <c r="V28" s="19">
        <f>=IF($H28&lt;$G28,0,$F28/($H28-$G28+1))</f>
        <v>2</v>
      </c>
    </row>
    <row r="29" spans="1:22" ht="14.25">
      <c r="A29" s="20" t="s">
        <v>339</v>
      </c>
      <c r="B29" s="21">
        <v>26</v>
      </c>
      <c r="C29" s="14" t="s">
        <v>642</v>
      </c>
      <c r="D29" s="20" t="s">
        <v>207</v>
      </c>
      <c r="E29" s="14" t="s">
        <v>132</v>
      </c>
      <c r="F29" s="21">
        <v>2</v>
      </c>
      <c r="G29" s="21">
        <v>8</v>
      </c>
      <c r="H29" s="21">
        <v>8</v>
      </c>
      <c r="I29" s="22">
        <f>=说明与总览!$B$19+VALUE(MID($A29,2,1))-1</f>
        <v>46290</v>
      </c>
      <c r="J29" s="21" t="str">
        <f>=IF(AND($G29&lt;=1,$H29&gt;=1),"■■","")</f>
        <v/>
      </c>
      <c r="K29" s="21" t="str">
        <f>=IF(AND($G29&lt;=2,$H29&gt;=2),"■■","")</f>
        <v/>
      </c>
      <c r="L29" s="21" t="str">
        <f>=IF(AND($G29&lt;=3,$H29&gt;=3),"■■","")</f>
        <v/>
      </c>
      <c r="M29" s="21" t="str">
        <f>=IF(AND($G29&lt;=4,$H29&gt;=4),"■■","")</f>
        <v/>
      </c>
      <c r="N29" s="21" t="str">
        <f>=IF(AND($G29&lt;=5,$H29&gt;=5),"■■","")</f>
        <v/>
      </c>
      <c r="O29" s="21" t="str">
        <f>=IF(AND($G29&lt;=6,$H29&gt;=6),"■■","")</f>
        <v/>
      </c>
      <c r="P29" s="21" t="str">
        <f>=IF(AND($G29&lt;=7,$H29&gt;=7),"■■","")</f>
        <v/>
      </c>
      <c r="Q29" s="21" t="str">
        <f>=IF(AND($G29&lt;=8,$H29&gt;=8),"■■","")</f>
        <v>■■</v>
      </c>
      <c r="R29" s="21" t="str">
        <f>=IF(AND($G29&lt;=9,$H29&gt;=9),"■■","")</f>
        <v/>
      </c>
      <c r="S29" s="21" t="str">
        <f>=IF(AND($G29&lt;=10,$H29&gt;=10),"■■","")</f>
        <v/>
      </c>
      <c r="T29" s="14" t="s">
        <v>643</v>
      </c>
      <c r="U29" s="21" t="s">
        <v>580</v>
      </c>
      <c r="V29" s="23">
        <f>=IF($H29&lt;$G29,0,$F29/($H29-$G29+1))</f>
        <v>2</v>
      </c>
    </row>
    <row r="30" spans="1:22" ht="14.25">
      <c r="A30" s="16" t="s">
        <v>339</v>
      </c>
      <c r="B30" s="17">
        <v>27</v>
      </c>
      <c r="C30" s="7" t="s">
        <v>644</v>
      </c>
      <c r="D30" s="16" t="s">
        <v>281</v>
      </c>
      <c r="E30" s="7" t="s">
        <v>172</v>
      </c>
      <c r="F30" s="17">
        <v>2</v>
      </c>
      <c r="G30" s="17">
        <v>7</v>
      </c>
      <c r="H30" s="17">
        <v>7</v>
      </c>
      <c r="I30" s="18">
        <f>=说明与总览!$B$19+VALUE(MID($A30,2,1))-1</f>
        <v>46290</v>
      </c>
      <c r="J30" s="17" t="str">
        <f>=IF(AND($G30&lt;=1,$H30&gt;=1),"■■","")</f>
        <v/>
      </c>
      <c r="K30" s="17" t="str">
        <f>=IF(AND($G30&lt;=2,$H30&gt;=2),"■■","")</f>
        <v/>
      </c>
      <c r="L30" s="17" t="str">
        <f>=IF(AND($G30&lt;=3,$H30&gt;=3),"■■","")</f>
        <v/>
      </c>
      <c r="M30" s="17" t="str">
        <f>=IF(AND($G30&lt;=4,$H30&gt;=4),"■■","")</f>
        <v/>
      </c>
      <c r="N30" s="17" t="str">
        <f>=IF(AND($G30&lt;=5,$H30&gt;=5),"■■","")</f>
        <v/>
      </c>
      <c r="O30" s="17" t="str">
        <f>=IF(AND($G30&lt;=6,$H30&gt;=6),"■■","")</f>
        <v/>
      </c>
      <c r="P30" s="17" t="str">
        <f>=IF(AND($G30&lt;=7,$H30&gt;=7),"■■","")</f>
        <v>■■</v>
      </c>
      <c r="Q30" s="17" t="str">
        <f>=IF(AND($G30&lt;=8,$H30&gt;=8),"■■","")</f>
        <v/>
      </c>
      <c r="R30" s="17" t="str">
        <f>=IF(AND($G30&lt;=9,$H30&gt;=9),"■■","")</f>
        <v/>
      </c>
      <c r="S30" s="17" t="str">
        <f>=IF(AND($G30&lt;=10,$H30&gt;=10),"■■","")</f>
        <v/>
      </c>
      <c r="T30" s="7" t="s">
        <v>645</v>
      </c>
      <c r="U30" s="17" t="s">
        <v>580</v>
      </c>
      <c r="V30" s="19">
        <f>=IF($H30&lt;$G30,0,$F30/($H30-$G30+1))</f>
        <v>2</v>
      </c>
    </row>
    <row r="31" spans="1:22" ht="28.5">
      <c r="A31" s="20" t="s">
        <v>339</v>
      </c>
      <c r="B31" s="21">
        <v>28</v>
      </c>
      <c r="C31" s="14" t="s">
        <v>646</v>
      </c>
      <c r="D31" s="20" t="s">
        <v>281</v>
      </c>
      <c r="E31" s="14" t="s">
        <v>647</v>
      </c>
      <c r="F31" s="21">
        <v>2</v>
      </c>
      <c r="G31" s="21">
        <v>7</v>
      </c>
      <c r="H31" s="21">
        <v>7</v>
      </c>
      <c r="I31" s="22">
        <f>=说明与总览!$B$19+VALUE(MID($A31,2,1))-1</f>
        <v>46290</v>
      </c>
      <c r="J31" s="21" t="str">
        <f>=IF(AND($G31&lt;=1,$H31&gt;=1),"■■","")</f>
        <v/>
      </c>
      <c r="K31" s="21" t="str">
        <f>=IF(AND($G31&lt;=2,$H31&gt;=2),"■■","")</f>
        <v/>
      </c>
      <c r="L31" s="21" t="str">
        <f>=IF(AND($G31&lt;=3,$H31&gt;=3),"■■","")</f>
        <v/>
      </c>
      <c r="M31" s="21" t="str">
        <f>=IF(AND($G31&lt;=4,$H31&gt;=4),"■■","")</f>
        <v/>
      </c>
      <c r="N31" s="21" t="str">
        <f>=IF(AND($G31&lt;=5,$H31&gt;=5),"■■","")</f>
        <v/>
      </c>
      <c r="O31" s="21" t="str">
        <f>=IF(AND($G31&lt;=6,$H31&gt;=6),"■■","")</f>
        <v/>
      </c>
      <c r="P31" s="21" t="str">
        <f>=IF(AND($G31&lt;=7,$H31&gt;=7),"■■","")</f>
        <v>■■</v>
      </c>
      <c r="Q31" s="21" t="str">
        <f>=IF(AND($G31&lt;=8,$H31&gt;=8),"■■","")</f>
        <v/>
      </c>
      <c r="R31" s="21" t="str">
        <f>=IF(AND($G31&lt;=9,$H31&gt;=9),"■■","")</f>
        <v/>
      </c>
      <c r="S31" s="21" t="str">
        <f>=IF(AND($G31&lt;=10,$H31&gt;=10),"■■","")</f>
        <v/>
      </c>
      <c r="T31" s="14" t="s">
        <v>648</v>
      </c>
      <c r="U31" s="21" t="s">
        <v>580</v>
      </c>
      <c r="V31" s="23">
        <f>=IF($H31&lt;$G31,0,$F31/($H31-$G31+1))</f>
        <v>2</v>
      </c>
    </row>
    <row r="32" spans="1:22" ht="14.25">
      <c r="A32" s="16" t="s">
        <v>339</v>
      </c>
      <c r="B32" s="17">
        <v>29</v>
      </c>
      <c r="C32" s="7" t="s">
        <v>649</v>
      </c>
      <c r="D32" s="16" t="s">
        <v>281</v>
      </c>
      <c r="E32" s="7" t="s">
        <v>371</v>
      </c>
      <c r="F32" s="17">
        <v>2</v>
      </c>
      <c r="G32" s="17">
        <v>8</v>
      </c>
      <c r="H32" s="17">
        <v>8</v>
      </c>
      <c r="I32" s="18">
        <f>=说明与总览!$B$19+VALUE(MID($A32,2,1))-1</f>
        <v>46290</v>
      </c>
      <c r="J32" s="17" t="str">
        <f>=IF(AND($G32&lt;=1,$H32&gt;=1),"■■","")</f>
        <v/>
      </c>
      <c r="K32" s="17" t="str">
        <f>=IF(AND($G32&lt;=2,$H32&gt;=2),"■■","")</f>
        <v/>
      </c>
      <c r="L32" s="17" t="str">
        <f>=IF(AND($G32&lt;=3,$H32&gt;=3),"■■","")</f>
        <v/>
      </c>
      <c r="M32" s="17" t="str">
        <f>=IF(AND($G32&lt;=4,$H32&gt;=4),"■■","")</f>
        <v/>
      </c>
      <c r="N32" s="17" t="str">
        <f>=IF(AND($G32&lt;=5,$H32&gt;=5),"■■","")</f>
        <v/>
      </c>
      <c r="O32" s="17" t="str">
        <f>=IF(AND($G32&lt;=6,$H32&gt;=6),"■■","")</f>
        <v/>
      </c>
      <c r="P32" s="17" t="str">
        <f>=IF(AND($G32&lt;=7,$H32&gt;=7),"■■","")</f>
        <v/>
      </c>
      <c r="Q32" s="17" t="str">
        <f>=IF(AND($G32&lt;=8,$H32&gt;=8),"■■","")</f>
        <v>■■</v>
      </c>
      <c r="R32" s="17" t="str">
        <f>=IF(AND($G32&lt;=9,$H32&gt;=9),"■■","")</f>
        <v/>
      </c>
      <c r="S32" s="17" t="str">
        <f>=IF(AND($G32&lt;=10,$H32&gt;=10),"■■","")</f>
        <v/>
      </c>
      <c r="T32" s="7" t="s">
        <v>650</v>
      </c>
      <c r="U32" s="17" t="s">
        <v>580</v>
      </c>
      <c r="V32" s="19">
        <f>=IF($H32&lt;$G32,0,$F32/($H32-$G32+1))</f>
        <v>2</v>
      </c>
    </row>
    <row r="33" spans="1:22" ht="14.25">
      <c r="A33" s="20" t="s">
        <v>339</v>
      </c>
      <c r="B33" s="21">
        <v>30</v>
      </c>
      <c r="C33" s="14" t="s">
        <v>651</v>
      </c>
      <c r="D33" s="20" t="s">
        <v>281</v>
      </c>
      <c r="E33" s="14" t="s">
        <v>652</v>
      </c>
      <c r="F33" s="21">
        <v>2</v>
      </c>
      <c r="G33" s="21">
        <v>8</v>
      </c>
      <c r="H33" s="21">
        <v>8</v>
      </c>
      <c r="I33" s="22">
        <f>=说明与总览!$B$19+VALUE(MID($A33,2,1))-1</f>
        <v>46290</v>
      </c>
      <c r="J33" s="21" t="str">
        <f>=IF(AND($G33&lt;=1,$H33&gt;=1),"■■","")</f>
        <v/>
      </c>
      <c r="K33" s="21" t="str">
        <f>=IF(AND($G33&lt;=2,$H33&gt;=2),"■■","")</f>
        <v/>
      </c>
      <c r="L33" s="21" t="str">
        <f>=IF(AND($G33&lt;=3,$H33&gt;=3),"■■","")</f>
        <v/>
      </c>
      <c r="M33" s="21" t="str">
        <f>=IF(AND($G33&lt;=4,$H33&gt;=4),"■■","")</f>
        <v/>
      </c>
      <c r="N33" s="21" t="str">
        <f>=IF(AND($G33&lt;=5,$H33&gt;=5),"■■","")</f>
        <v/>
      </c>
      <c r="O33" s="21" t="str">
        <f>=IF(AND($G33&lt;=6,$H33&gt;=6),"■■","")</f>
        <v/>
      </c>
      <c r="P33" s="21" t="str">
        <f>=IF(AND($G33&lt;=7,$H33&gt;=7),"■■","")</f>
        <v/>
      </c>
      <c r="Q33" s="21" t="str">
        <f>=IF(AND($G33&lt;=8,$H33&gt;=8),"■■","")</f>
        <v>■■</v>
      </c>
      <c r="R33" s="21" t="str">
        <f>=IF(AND($G33&lt;=9,$H33&gt;=9),"■■","")</f>
        <v/>
      </c>
      <c r="S33" s="21" t="str">
        <f>=IF(AND($G33&lt;=10,$H33&gt;=10),"■■","")</f>
        <v/>
      </c>
      <c r="T33" s="14" t="s">
        <v>653</v>
      </c>
      <c r="U33" s="21" t="s">
        <v>580</v>
      </c>
      <c r="V33" s="23">
        <f>=IF($H33&lt;$G33,0,$F33/($H33-$G33+1))</f>
        <v>2</v>
      </c>
    </row>
    <row r="34" spans="1:22" ht="14.25">
      <c r="A34" s="16" t="s">
        <v>654</v>
      </c>
      <c r="B34" s="17">
        <v>31</v>
      </c>
      <c r="C34" s="7" t="s">
        <v>655</v>
      </c>
      <c r="D34" s="16" t="s">
        <v>207</v>
      </c>
      <c r="E34" s="7" t="s">
        <v>656</v>
      </c>
      <c r="F34" s="17">
        <v>3</v>
      </c>
      <c r="G34" s="17">
        <v>9</v>
      </c>
      <c r="H34" s="17">
        <v>9</v>
      </c>
      <c r="I34" s="18">
        <f>=说明与总览!$B$19+VALUE(MID($A34,2,1))-1</f>
        <v>46291</v>
      </c>
      <c r="J34" s="17" t="str">
        <f>=IF(AND($G34&lt;=1,$H34&gt;=1),"■■","")</f>
        <v/>
      </c>
      <c r="K34" s="17" t="str">
        <f>=IF(AND($G34&lt;=2,$H34&gt;=2),"■■","")</f>
        <v/>
      </c>
      <c r="L34" s="17" t="str">
        <f>=IF(AND($G34&lt;=3,$H34&gt;=3),"■■","")</f>
        <v/>
      </c>
      <c r="M34" s="17" t="str">
        <f>=IF(AND($G34&lt;=4,$H34&gt;=4),"■■","")</f>
        <v/>
      </c>
      <c r="N34" s="17" t="str">
        <f>=IF(AND($G34&lt;=5,$H34&gt;=5),"■■","")</f>
        <v/>
      </c>
      <c r="O34" s="17" t="str">
        <f>=IF(AND($G34&lt;=6,$H34&gt;=6),"■■","")</f>
        <v/>
      </c>
      <c r="P34" s="17" t="str">
        <f>=IF(AND($G34&lt;=7,$H34&gt;=7),"■■","")</f>
        <v/>
      </c>
      <c r="Q34" s="17" t="str">
        <f>=IF(AND($G34&lt;=8,$H34&gt;=8),"■■","")</f>
        <v/>
      </c>
      <c r="R34" s="17" t="str">
        <f>=IF(AND($G34&lt;=9,$H34&gt;=9),"■■","")</f>
        <v>■■</v>
      </c>
      <c r="S34" s="17" t="str">
        <f>=IF(AND($G34&lt;=10,$H34&gt;=10),"■■","")</f>
        <v/>
      </c>
      <c r="T34" s="7" t="s">
        <v>657</v>
      </c>
      <c r="U34" s="17" t="s">
        <v>580</v>
      </c>
      <c r="V34" s="19">
        <f>=IF($H34&lt;$G34,0,$F34/($H34-$G34+1))</f>
        <v>3</v>
      </c>
    </row>
    <row r="35" spans="1:22" ht="14.25">
      <c r="A35" s="20" t="s">
        <v>654</v>
      </c>
      <c r="B35" s="21">
        <v>32</v>
      </c>
      <c r="C35" s="14" t="s">
        <v>658</v>
      </c>
      <c r="D35" s="20" t="s">
        <v>207</v>
      </c>
      <c r="E35" s="14" t="s">
        <v>358</v>
      </c>
      <c r="F35" s="21">
        <v>1</v>
      </c>
      <c r="G35" s="21">
        <v>9</v>
      </c>
      <c r="H35" s="21">
        <v>9</v>
      </c>
      <c r="I35" s="22">
        <f>=说明与总览!$B$19+VALUE(MID($A35,2,1))-1</f>
        <v>46291</v>
      </c>
      <c r="J35" s="21" t="str">
        <f>=IF(AND($G35&lt;=1,$H35&gt;=1),"■■","")</f>
        <v/>
      </c>
      <c r="K35" s="21" t="str">
        <f>=IF(AND($G35&lt;=2,$H35&gt;=2),"■■","")</f>
        <v/>
      </c>
      <c r="L35" s="21" t="str">
        <f>=IF(AND($G35&lt;=3,$H35&gt;=3),"■■","")</f>
        <v/>
      </c>
      <c r="M35" s="21" t="str">
        <f>=IF(AND($G35&lt;=4,$H35&gt;=4),"■■","")</f>
        <v/>
      </c>
      <c r="N35" s="21" t="str">
        <f>=IF(AND($G35&lt;=5,$H35&gt;=5),"■■","")</f>
        <v/>
      </c>
      <c r="O35" s="21" t="str">
        <f>=IF(AND($G35&lt;=6,$H35&gt;=6),"■■","")</f>
        <v/>
      </c>
      <c r="P35" s="21" t="str">
        <f>=IF(AND($G35&lt;=7,$H35&gt;=7),"■■","")</f>
        <v/>
      </c>
      <c r="Q35" s="21" t="str">
        <f>=IF(AND($G35&lt;=8,$H35&gt;=8),"■■","")</f>
        <v/>
      </c>
      <c r="R35" s="21" t="str">
        <f>=IF(AND($G35&lt;=9,$H35&gt;=9),"■■","")</f>
        <v>■■</v>
      </c>
      <c r="S35" s="21" t="str">
        <f>=IF(AND($G35&lt;=10,$H35&gt;=10),"■■","")</f>
        <v/>
      </c>
      <c r="T35" s="14" t="s">
        <v>659</v>
      </c>
      <c r="U35" s="21" t="s">
        <v>580</v>
      </c>
      <c r="V35" s="23">
        <f>=IF($H35&lt;$G35,0,$F35/($H35-$G35+1))</f>
        <v>1</v>
      </c>
    </row>
    <row r="36" spans="1:22" ht="14.25">
      <c r="A36" s="16" t="s">
        <v>654</v>
      </c>
      <c r="B36" s="17">
        <v>33</v>
      </c>
      <c r="C36" s="7" t="s">
        <v>660</v>
      </c>
      <c r="D36" s="16" t="s">
        <v>207</v>
      </c>
      <c r="E36" s="7" t="s">
        <v>341</v>
      </c>
      <c r="F36" s="17">
        <v>2</v>
      </c>
      <c r="G36" s="17">
        <v>10</v>
      </c>
      <c r="H36" s="17">
        <v>10</v>
      </c>
      <c r="I36" s="18">
        <f>=说明与总览!$B$19+VALUE(MID($A36,2,1))-1</f>
        <v>46291</v>
      </c>
      <c r="J36" s="17" t="str">
        <f>=IF(AND($G36&lt;=1,$H36&gt;=1),"■■","")</f>
        <v/>
      </c>
      <c r="K36" s="17" t="str">
        <f>=IF(AND($G36&lt;=2,$H36&gt;=2),"■■","")</f>
        <v/>
      </c>
      <c r="L36" s="17" t="str">
        <f>=IF(AND($G36&lt;=3,$H36&gt;=3),"■■","")</f>
        <v/>
      </c>
      <c r="M36" s="17" t="str">
        <f>=IF(AND($G36&lt;=4,$H36&gt;=4),"■■","")</f>
        <v/>
      </c>
      <c r="N36" s="17" t="str">
        <f>=IF(AND($G36&lt;=5,$H36&gt;=5),"■■","")</f>
        <v/>
      </c>
      <c r="O36" s="17" t="str">
        <f>=IF(AND($G36&lt;=6,$H36&gt;=6),"■■","")</f>
        <v/>
      </c>
      <c r="P36" s="17" t="str">
        <f>=IF(AND($G36&lt;=7,$H36&gt;=7),"■■","")</f>
        <v/>
      </c>
      <c r="Q36" s="17" t="str">
        <f>=IF(AND($G36&lt;=8,$H36&gt;=8),"■■","")</f>
        <v/>
      </c>
      <c r="R36" s="17" t="str">
        <f>=IF(AND($G36&lt;=9,$H36&gt;=9),"■■","")</f>
        <v/>
      </c>
      <c r="S36" s="17" t="str">
        <f>=IF(AND($G36&lt;=10,$H36&gt;=10),"■■","")</f>
        <v>■■</v>
      </c>
      <c r="T36" s="7" t="s">
        <v>661</v>
      </c>
      <c r="U36" s="17" t="s">
        <v>580</v>
      </c>
      <c r="V36" s="19">
        <f>=IF($H36&lt;$G36,0,$F36/($H36-$G36+1))</f>
        <v>2</v>
      </c>
    </row>
    <row r="37" spans="1:22" ht="28.5">
      <c r="A37" s="20" t="s">
        <v>654</v>
      </c>
      <c r="B37" s="21">
        <v>34</v>
      </c>
      <c r="C37" s="14" t="s">
        <v>662</v>
      </c>
      <c r="D37" s="20" t="s">
        <v>207</v>
      </c>
      <c r="E37" s="14" t="s">
        <v>663</v>
      </c>
      <c r="F37" s="21">
        <v>1</v>
      </c>
      <c r="G37" s="21">
        <v>10</v>
      </c>
      <c r="H37" s="21">
        <v>10</v>
      </c>
      <c r="I37" s="22">
        <f>=说明与总览!$B$19+VALUE(MID($A37,2,1))-1</f>
        <v>46291</v>
      </c>
      <c r="J37" s="21" t="str">
        <f>=IF(AND($G37&lt;=1,$H37&gt;=1),"■■","")</f>
        <v/>
      </c>
      <c r="K37" s="21" t="str">
        <f>=IF(AND($G37&lt;=2,$H37&gt;=2),"■■","")</f>
        <v/>
      </c>
      <c r="L37" s="21" t="str">
        <f>=IF(AND($G37&lt;=3,$H37&gt;=3),"■■","")</f>
        <v/>
      </c>
      <c r="M37" s="21" t="str">
        <f>=IF(AND($G37&lt;=4,$H37&gt;=4),"■■","")</f>
        <v/>
      </c>
      <c r="N37" s="21" t="str">
        <f>=IF(AND($G37&lt;=5,$H37&gt;=5),"■■","")</f>
        <v/>
      </c>
      <c r="O37" s="21" t="str">
        <f>=IF(AND($G37&lt;=6,$H37&gt;=6),"■■","")</f>
        <v/>
      </c>
      <c r="P37" s="21" t="str">
        <f>=IF(AND($G37&lt;=7,$H37&gt;=7),"■■","")</f>
        <v/>
      </c>
      <c r="Q37" s="21" t="str">
        <f>=IF(AND($G37&lt;=8,$H37&gt;=8),"■■","")</f>
        <v/>
      </c>
      <c r="R37" s="21" t="str">
        <f>=IF(AND($G37&lt;=9,$H37&gt;=9),"■■","")</f>
        <v/>
      </c>
      <c r="S37" s="21" t="str">
        <f>=IF(AND($G37&lt;=10,$H37&gt;=10),"■■","")</f>
        <v>■■</v>
      </c>
      <c r="T37" s="14" t="s">
        <v>664</v>
      </c>
      <c r="U37" s="21" t="s">
        <v>580</v>
      </c>
      <c r="V37" s="23">
        <f>=IF($H37&lt;$G37,0,$F37/($H37-$G37+1))</f>
        <v>1</v>
      </c>
    </row>
    <row r="38" spans="1:22" ht="14.25">
      <c r="A38" s="16" t="s">
        <v>654</v>
      </c>
      <c r="B38" s="17">
        <v>35</v>
      </c>
      <c r="C38" s="7" t="s">
        <v>665</v>
      </c>
      <c r="D38" s="16" t="s">
        <v>207</v>
      </c>
      <c r="E38" s="7" t="s">
        <v>666</v>
      </c>
      <c r="F38" s="17">
        <v>1</v>
      </c>
      <c r="G38" s="17">
        <v>10</v>
      </c>
      <c r="H38" s="17">
        <v>10</v>
      </c>
      <c r="I38" s="18">
        <f>=说明与总览!$B$19+VALUE(MID($A38,2,1))-1</f>
        <v>46291</v>
      </c>
      <c r="J38" s="17" t="str">
        <f>=IF(AND($G38&lt;=1,$H38&gt;=1),"■■","")</f>
        <v/>
      </c>
      <c r="K38" s="17" t="str">
        <f>=IF(AND($G38&lt;=2,$H38&gt;=2),"■■","")</f>
        <v/>
      </c>
      <c r="L38" s="17" t="str">
        <f>=IF(AND($G38&lt;=3,$H38&gt;=3),"■■","")</f>
        <v/>
      </c>
      <c r="M38" s="17" t="str">
        <f>=IF(AND($G38&lt;=4,$H38&gt;=4),"■■","")</f>
        <v/>
      </c>
      <c r="N38" s="17" t="str">
        <f>=IF(AND($G38&lt;=5,$H38&gt;=5),"■■","")</f>
        <v/>
      </c>
      <c r="O38" s="17" t="str">
        <f>=IF(AND($G38&lt;=6,$H38&gt;=6),"■■","")</f>
        <v/>
      </c>
      <c r="P38" s="17" t="str">
        <f>=IF(AND($G38&lt;=7,$H38&gt;=7),"■■","")</f>
        <v/>
      </c>
      <c r="Q38" s="17" t="str">
        <f>=IF(AND($G38&lt;=8,$H38&gt;=8),"■■","")</f>
        <v/>
      </c>
      <c r="R38" s="17" t="str">
        <f>=IF(AND($G38&lt;=9,$H38&gt;=9),"■■","")</f>
        <v/>
      </c>
      <c r="S38" s="17" t="str">
        <f>=IF(AND($G38&lt;=10,$H38&gt;=10),"■■","")</f>
        <v>■■</v>
      </c>
      <c r="T38" s="7" t="s">
        <v>667</v>
      </c>
      <c r="U38" s="17" t="s">
        <v>580</v>
      </c>
      <c r="V38" s="19">
        <f>=IF($H38&lt;$G38,0,$F38/($H38-$G38+1))</f>
        <v>1</v>
      </c>
    </row>
    <row r="39" spans="1:22" ht="14.25">
      <c r="A39" s="20" t="s">
        <v>654</v>
      </c>
      <c r="B39" s="21">
        <v>36</v>
      </c>
      <c r="C39" s="14" t="s">
        <v>668</v>
      </c>
      <c r="D39" s="20" t="s">
        <v>281</v>
      </c>
      <c r="E39" s="14" t="s">
        <v>669</v>
      </c>
      <c r="F39" s="21">
        <v>2</v>
      </c>
      <c r="G39" s="21">
        <v>9</v>
      </c>
      <c r="H39" s="21">
        <v>9</v>
      </c>
      <c r="I39" s="22">
        <f>=说明与总览!$B$19+VALUE(MID($A39,2,1))-1</f>
        <v>46291</v>
      </c>
      <c r="J39" s="21" t="str">
        <f>=IF(AND($G39&lt;=1,$H39&gt;=1),"■■","")</f>
        <v/>
      </c>
      <c r="K39" s="21" t="str">
        <f>=IF(AND($G39&lt;=2,$H39&gt;=2),"■■","")</f>
        <v/>
      </c>
      <c r="L39" s="21" t="str">
        <f>=IF(AND($G39&lt;=3,$H39&gt;=3),"■■","")</f>
        <v/>
      </c>
      <c r="M39" s="21" t="str">
        <f>=IF(AND($G39&lt;=4,$H39&gt;=4),"■■","")</f>
        <v/>
      </c>
      <c r="N39" s="21" t="str">
        <f>=IF(AND($G39&lt;=5,$H39&gt;=5),"■■","")</f>
        <v/>
      </c>
      <c r="O39" s="21" t="str">
        <f>=IF(AND($G39&lt;=6,$H39&gt;=6),"■■","")</f>
        <v/>
      </c>
      <c r="P39" s="21" t="str">
        <f>=IF(AND($G39&lt;=7,$H39&gt;=7),"■■","")</f>
        <v/>
      </c>
      <c r="Q39" s="21" t="str">
        <f>=IF(AND($G39&lt;=8,$H39&gt;=8),"■■","")</f>
        <v/>
      </c>
      <c r="R39" s="21" t="str">
        <f>=IF(AND($G39&lt;=9,$H39&gt;=9),"■■","")</f>
        <v>■■</v>
      </c>
      <c r="S39" s="21" t="str">
        <f>=IF(AND($G39&lt;=10,$H39&gt;=10),"■■","")</f>
        <v/>
      </c>
      <c r="T39" s="14" t="s">
        <v>670</v>
      </c>
      <c r="U39" s="21" t="s">
        <v>580</v>
      </c>
      <c r="V39" s="23">
        <f>=IF($H39&lt;$G39,0,$F39/($H39-$G39+1))</f>
        <v>2</v>
      </c>
    </row>
    <row r="40" spans="1:22" ht="14.25">
      <c r="A40" s="16" t="s">
        <v>654</v>
      </c>
      <c r="B40" s="17">
        <v>37</v>
      </c>
      <c r="C40" s="7" t="s">
        <v>671</v>
      </c>
      <c r="D40" s="16" t="s">
        <v>281</v>
      </c>
      <c r="E40" s="7" t="s">
        <v>672</v>
      </c>
      <c r="F40" s="17">
        <v>2</v>
      </c>
      <c r="G40" s="17">
        <v>9</v>
      </c>
      <c r="H40" s="17">
        <v>9</v>
      </c>
      <c r="I40" s="18">
        <f>=说明与总览!$B$19+VALUE(MID($A40,2,1))-1</f>
        <v>46291</v>
      </c>
      <c r="J40" s="17" t="str">
        <f>=IF(AND($G40&lt;=1,$H40&gt;=1),"■■","")</f>
        <v/>
      </c>
      <c r="K40" s="17" t="str">
        <f>=IF(AND($G40&lt;=2,$H40&gt;=2),"■■","")</f>
        <v/>
      </c>
      <c r="L40" s="17" t="str">
        <f>=IF(AND($G40&lt;=3,$H40&gt;=3),"■■","")</f>
        <v/>
      </c>
      <c r="M40" s="17" t="str">
        <f>=IF(AND($G40&lt;=4,$H40&gt;=4),"■■","")</f>
        <v/>
      </c>
      <c r="N40" s="17" t="str">
        <f>=IF(AND($G40&lt;=5,$H40&gt;=5),"■■","")</f>
        <v/>
      </c>
      <c r="O40" s="17" t="str">
        <f>=IF(AND($G40&lt;=6,$H40&gt;=6),"■■","")</f>
        <v/>
      </c>
      <c r="P40" s="17" t="str">
        <f>=IF(AND($G40&lt;=7,$H40&gt;=7),"■■","")</f>
        <v/>
      </c>
      <c r="Q40" s="17" t="str">
        <f>=IF(AND($G40&lt;=8,$H40&gt;=8),"■■","")</f>
        <v/>
      </c>
      <c r="R40" s="17" t="str">
        <f>=IF(AND($G40&lt;=9,$H40&gt;=9),"■■","")</f>
        <v>■■</v>
      </c>
      <c r="S40" s="17" t="str">
        <f>=IF(AND($G40&lt;=10,$H40&gt;=10),"■■","")</f>
        <v/>
      </c>
      <c r="T40" s="7" t="s">
        <v>673</v>
      </c>
      <c r="U40" s="17" t="s">
        <v>580</v>
      </c>
      <c r="V40" s="19">
        <f>=IF($H40&lt;$G40,0,$F40/($H40-$G40+1))</f>
        <v>2</v>
      </c>
    </row>
    <row r="41" spans="1:22" ht="14.25">
      <c r="A41" s="20" t="s">
        <v>654</v>
      </c>
      <c r="B41" s="21">
        <v>38</v>
      </c>
      <c r="C41" s="14" t="s">
        <v>674</v>
      </c>
      <c r="D41" s="20" t="s">
        <v>281</v>
      </c>
      <c r="E41" s="14" t="s">
        <v>333</v>
      </c>
      <c r="F41" s="21">
        <v>2</v>
      </c>
      <c r="G41" s="21">
        <v>10</v>
      </c>
      <c r="H41" s="21">
        <v>10</v>
      </c>
      <c r="I41" s="22">
        <f>=说明与总览!$B$19+VALUE(MID($A41,2,1))-1</f>
        <v>46291</v>
      </c>
      <c r="J41" s="21" t="str">
        <f>=IF(AND($G41&lt;=1,$H41&gt;=1),"■■","")</f>
        <v/>
      </c>
      <c r="K41" s="21" t="str">
        <f>=IF(AND($G41&lt;=2,$H41&gt;=2),"■■","")</f>
        <v/>
      </c>
      <c r="L41" s="21" t="str">
        <f>=IF(AND($G41&lt;=3,$H41&gt;=3),"■■","")</f>
        <v/>
      </c>
      <c r="M41" s="21" t="str">
        <f>=IF(AND($G41&lt;=4,$H41&gt;=4),"■■","")</f>
        <v/>
      </c>
      <c r="N41" s="21" t="str">
        <f>=IF(AND($G41&lt;=5,$H41&gt;=5),"■■","")</f>
        <v/>
      </c>
      <c r="O41" s="21" t="str">
        <f>=IF(AND($G41&lt;=6,$H41&gt;=6),"■■","")</f>
        <v/>
      </c>
      <c r="P41" s="21" t="str">
        <f>=IF(AND($G41&lt;=7,$H41&gt;=7),"■■","")</f>
        <v/>
      </c>
      <c r="Q41" s="21" t="str">
        <f>=IF(AND($G41&lt;=8,$H41&gt;=8),"■■","")</f>
        <v/>
      </c>
      <c r="R41" s="21" t="str">
        <f>=IF(AND($G41&lt;=9,$H41&gt;=9),"■■","")</f>
        <v/>
      </c>
      <c r="S41" s="21" t="str">
        <f>=IF(AND($G41&lt;=10,$H41&gt;=10),"■■","")</f>
        <v>■■</v>
      </c>
      <c r="T41" s="14" t="s">
        <v>675</v>
      </c>
      <c r="U41" s="21" t="s">
        <v>580</v>
      </c>
      <c r="V41" s="23">
        <f>=IF($H41&lt;$G41,0,$F41/($H41-$G41+1))</f>
        <v>2</v>
      </c>
    </row>
    <row r="42" spans="1:22" ht="14.25">
      <c r="A42" s="16" t="s">
        <v>654</v>
      </c>
      <c r="B42" s="17">
        <v>39</v>
      </c>
      <c r="C42" s="7" t="s">
        <v>676</v>
      </c>
      <c r="D42" s="16" t="s">
        <v>281</v>
      </c>
      <c r="E42" s="7" t="s">
        <v>677</v>
      </c>
      <c r="F42" s="17">
        <v>2</v>
      </c>
      <c r="G42" s="17">
        <v>10</v>
      </c>
      <c r="H42" s="17">
        <v>10</v>
      </c>
      <c r="I42" s="18">
        <f>=说明与总览!$B$19+VALUE(MID($A42,2,1))-1</f>
        <v>46291</v>
      </c>
      <c r="J42" s="17" t="str">
        <f>=IF(AND($G42&lt;=1,$H42&gt;=1),"■■","")</f>
        <v/>
      </c>
      <c r="K42" s="17" t="str">
        <f>=IF(AND($G42&lt;=2,$H42&gt;=2),"■■","")</f>
        <v/>
      </c>
      <c r="L42" s="17" t="str">
        <f>=IF(AND($G42&lt;=3,$H42&gt;=3),"■■","")</f>
        <v/>
      </c>
      <c r="M42" s="17" t="str">
        <f>=IF(AND($G42&lt;=4,$H42&gt;=4),"■■","")</f>
        <v/>
      </c>
      <c r="N42" s="17" t="str">
        <f>=IF(AND($G42&lt;=5,$H42&gt;=5),"■■","")</f>
        <v/>
      </c>
      <c r="O42" s="17" t="str">
        <f>=IF(AND($G42&lt;=6,$H42&gt;=6),"■■","")</f>
        <v/>
      </c>
      <c r="P42" s="17" t="str">
        <f>=IF(AND($G42&lt;=7,$H42&gt;=7),"■■","")</f>
        <v/>
      </c>
      <c r="Q42" s="17" t="str">
        <f>=IF(AND($G42&lt;=8,$H42&gt;=8),"■■","")</f>
        <v/>
      </c>
      <c r="R42" s="17" t="str">
        <f>=IF(AND($G42&lt;=9,$H42&gt;=9),"■■","")</f>
        <v/>
      </c>
      <c r="S42" s="17" t="str">
        <f>=IF(AND($G42&lt;=10,$H42&gt;=10),"■■","")</f>
        <v>■■</v>
      </c>
      <c r="T42" s="7" t="s">
        <v>678</v>
      </c>
      <c r="U42" s="17" t="s">
        <v>580</v>
      </c>
      <c r="V42" s="19">
        <f>=IF($H42&lt;$G42,0,$F42/($H42-$G42+1))</f>
        <v>2</v>
      </c>
    </row>
    <row r="45" spans="1:19" ht="14.25">
      <c r="A45" s="24" t="s">
        <v>679</v>
      </c>
      <c r="J45" s="25" t="s">
        <v>680</v>
      </c>
      <c r="K45" s="25" t="s">
        <v>681</v>
      </c>
      <c r="L45" s="25" t="s">
        <v>682</v>
      </c>
      <c r="M45" s="25" t="s">
        <v>683</v>
      </c>
      <c r="N45" s="25" t="s">
        <v>684</v>
      </c>
      <c r="O45" s="25" t="s">
        <v>685</v>
      </c>
      <c r="P45" s="25" t="s">
        <v>686</v>
      </c>
      <c r="Q45" s="25" t="s">
        <v>687</v>
      </c>
      <c r="R45" s="25" t="s">
        <v>688</v>
      </c>
      <c r="S45" s="25" t="s">
        <v>689</v>
      </c>
    </row>
    <row r="46" spans="1:19" ht="14.25">
      <c r="A46" s="16" t="s">
        <v>207</v>
      </c>
      <c r="B46" s="26" t="s"/>
      <c r="C46" s="26" t="s"/>
      <c r="D46" s="26" t="s"/>
      <c r="E46" s="26" t="s"/>
      <c r="F46" s="26" t="s"/>
      <c r="G46" s="26" t="s"/>
      <c r="H46" s="26" t="s"/>
      <c r="I46" s="26" t="s"/>
      <c r="J46" s="19">
        <f>=SUMIFS($V$4:$V$42,$D$4:$D$42,"人员A",$G$4:$G$42,"&lt;=1",$H$4:$H$42,"&gt;=1")</f>
        <v>4</v>
      </c>
      <c r="K46" s="19">
        <f>=SUMIFS($V$4:$V$42,$D$4:$D$42,"人员A",$G$4:$G$42,"&lt;=2",$H$4:$H$42,"&gt;=2")</f>
        <v>4</v>
      </c>
      <c r="L46" s="19">
        <f>=SUMIFS($V$4:$V$42,$D$4:$D$42,"人员A",$G$4:$G$42,"&lt;=3",$H$4:$H$42,"&gt;=3")</f>
        <v>4</v>
      </c>
      <c r="M46" s="19">
        <f>=SUMIFS($V$4:$V$42,$D$4:$D$42,"人员A",$G$4:$G$42,"&lt;=4",$H$4:$H$42,"&gt;=4")</f>
        <v>4</v>
      </c>
      <c r="N46" s="19">
        <f>=SUMIFS($V$4:$V$42,$D$4:$D$42,"人员A",$G$4:$G$42,"&lt;=5",$H$4:$H$42,"&gt;=5")</f>
        <v>4</v>
      </c>
      <c r="O46" s="19">
        <f>=SUMIFS($V$4:$V$42,$D$4:$D$42,"人员A",$G$4:$G$42,"&lt;=6",$H$4:$H$42,"&gt;=6")</f>
        <v>4</v>
      </c>
      <c r="P46" s="19">
        <f>=SUMIFS($V$4:$V$42,$D$4:$D$42,"人员A",$G$4:$G$42,"&lt;=7",$H$4:$H$42,"&gt;=7")</f>
        <v>4</v>
      </c>
      <c r="Q46" s="19">
        <f>=SUMIFS($V$4:$V$42,$D$4:$D$42,"人员A",$G$4:$G$42,"&lt;=8",$H$4:$H$42,"&gt;=8")</f>
        <v>4</v>
      </c>
      <c r="R46" s="19">
        <f>=SUMIFS($V$4:$V$42,$D$4:$D$42,"人员A",$G$4:$G$42,"&lt;=9",$H$4:$H$42,"&gt;=9")</f>
        <v>4</v>
      </c>
      <c r="S46" s="19">
        <f>=SUMIFS($V$4:$V$42,$D$4:$D$42,"人员A",$G$4:$G$42,"&lt;=10",$H$4:$H$42,"&gt;=10")</f>
        <v>4</v>
      </c>
    </row>
    <row r="47" spans="1:19" ht="14.25">
      <c r="A47" s="16" t="s">
        <v>281</v>
      </c>
      <c r="B47" s="26" t="s"/>
      <c r="C47" s="26" t="s"/>
      <c r="D47" s="26" t="s"/>
      <c r="E47" s="26" t="s"/>
      <c r="F47" s="26" t="s"/>
      <c r="G47" s="26" t="s"/>
      <c r="H47" s="26" t="s"/>
      <c r="I47" s="26" t="s"/>
      <c r="J47" s="19">
        <f>=SUMIFS($V$4:$V$42,$D$4:$D$42,"人员B",$G$4:$G$42,"&lt;=1",$H$4:$H$42,"&gt;=1")</f>
        <v>4</v>
      </c>
      <c r="K47" s="19">
        <f>=SUMIFS($V$4:$V$42,$D$4:$D$42,"人员B",$G$4:$G$42,"&lt;=2",$H$4:$H$42,"&gt;=2")</f>
        <v>4</v>
      </c>
      <c r="L47" s="19">
        <f>=SUMIFS($V$4:$V$42,$D$4:$D$42,"人员B",$G$4:$G$42,"&lt;=3",$H$4:$H$42,"&gt;=3")</f>
        <v>4</v>
      </c>
      <c r="M47" s="19">
        <f>=SUMIFS($V$4:$V$42,$D$4:$D$42,"人员B",$G$4:$G$42,"&lt;=4",$H$4:$H$42,"&gt;=4")</f>
        <v>4</v>
      </c>
      <c r="N47" s="19">
        <f>=SUMIFS($V$4:$V$42,$D$4:$D$42,"人员B",$G$4:$G$42,"&lt;=5",$H$4:$H$42,"&gt;=5")</f>
        <v>4</v>
      </c>
      <c r="O47" s="19">
        <f>=SUMIFS($V$4:$V$42,$D$4:$D$42,"人员B",$G$4:$G$42,"&lt;=6",$H$4:$H$42,"&gt;=6")</f>
        <v>4</v>
      </c>
      <c r="P47" s="19">
        <f>=SUMIFS($V$4:$V$42,$D$4:$D$42,"人员B",$G$4:$G$42,"&lt;=7",$H$4:$H$42,"&gt;=7")</f>
        <v>4</v>
      </c>
      <c r="Q47" s="19">
        <f>=SUMIFS($V$4:$V$42,$D$4:$D$42,"人员B",$G$4:$G$42,"&lt;=8",$H$4:$H$42,"&gt;=8")</f>
        <v>4</v>
      </c>
      <c r="R47" s="19">
        <f>=SUMIFS($V$4:$V$42,$D$4:$D$42,"人员B",$G$4:$G$42,"&lt;=9",$H$4:$H$42,"&gt;=9")</f>
        <v>4</v>
      </c>
      <c r="S47" s="19">
        <f>=SUMIFS($V$4:$V$42,$D$4:$D$42,"人员B",$G$4:$G$42,"&lt;=10",$H$4:$H$42,"&gt;=10")</f>
        <v>4</v>
      </c>
    </row>
    <row r="48" spans="1:10" ht="14.25">
      <c r="A48" s="24" t="s">
        <v>690</v>
      </c>
      <c r="J48" s="24" t="str">
        <f>=IF(COUNTIF(J5:S6,"&gt;4")&gt;0,"存在超载时段，需调整排期","负荷均衡：每人每时段 ≤ 4 人时")</f>
        <v>负荷均衡：每人每时段 ≤ 4 人时</v>
      </c>
    </row>
    <row r="49" spans="1:12" ht="14.25">
      <c r="A49" s="24" t="s">
        <v>692</v>
      </c>
      <c r="J49" s="24">
        <f>=SUM(F4:F42)</f>
        <v>80</v>
      </c>
      <c r="K49" s="24">
        <f>=2*5*8</f>
        <v>80</v>
      </c>
      <c r="L49" s="24" t="str">
        <f>=IF(J49&lt;=K49,"工期可行：总投入未超 2 人 × 5 天产能","超出产能，须延长工期或裁剪范围")</f>
        <v>工期可行：总投入未超 2 人 × 5 天产能</v>
      </c>
    </row>
    <row r="51" spans="1:1" ht="20" customHeight="1">
      <c r="A51" s="9" t="s">
        <v>694</v>
      </c>
    </row>
    <row r="52" spans="1:7" ht="28.5">
      <c r="A52" s="27" t="s">
        <v>695</v>
      </c>
      <c r="B52" s="27" t="s">
        <v>696</v>
      </c>
      <c r="C52" s="27" t="s">
        <v>60</v>
      </c>
      <c r="D52" s="27" t="s">
        <v>65</v>
      </c>
      <c r="E52" s="27" t="s">
        <v>697</v>
      </c>
      <c r="F52" s="27" t="s">
        <v>698</v>
      </c>
      <c r="G52" s="27" t="s">
        <v>699</v>
      </c>
    </row>
    <row r="53" spans="1:7" ht="142.5">
      <c r="A53" s="7" t="s">
        <v>700</v>
      </c>
      <c r="B53" s="7" t="s">
        <v>701</v>
      </c>
      <c r="C53" s="7" t="s">
        <v>702</v>
      </c>
      <c r="D53" s="7" t="s">
        <v>76</v>
      </c>
      <c r="E53" s="7" t="s">
        <v>703</v>
      </c>
      <c r="F53" s="7" t="s">
        <v>704</v>
      </c>
      <c r="G53" s="7" t="s">
        <v>705</v>
      </c>
    </row>
    <row r="54" spans="1:7" ht="171">
      <c r="A54" s="14" t="s">
        <v>618</v>
      </c>
      <c r="B54" s="14" t="s">
        <v>706</v>
      </c>
      <c r="C54" s="14" t="s">
        <v>707</v>
      </c>
      <c r="D54" s="14" t="s">
        <v>109</v>
      </c>
      <c r="E54" s="14" t="s">
        <v>708</v>
      </c>
      <c r="F54" s="14" t="s">
        <v>709</v>
      </c>
      <c r="G54" s="14" t="s">
        <v>710</v>
      </c>
    </row>
    <row r="55" spans="1:7" ht="142.5">
      <c r="A55" s="7" t="s">
        <v>711</v>
      </c>
      <c r="B55" s="7" t="s">
        <v>712</v>
      </c>
      <c r="C55" s="7" t="s">
        <v>702</v>
      </c>
      <c r="D55" s="7" t="s">
        <v>91</v>
      </c>
      <c r="E55" s="7" t="s">
        <v>708</v>
      </c>
      <c r="F55" s="7" t="s">
        <v>713</v>
      </c>
      <c r="G55" s="7" t="s">
        <v>714</v>
      </c>
    </row>
    <row r="56" spans="1:7" ht="114">
      <c r="A56" s="14" t="s">
        <v>715</v>
      </c>
      <c r="B56" s="14" t="s">
        <v>716</v>
      </c>
      <c r="C56" s="14" t="s">
        <v>141</v>
      </c>
      <c r="D56" s="14" t="s">
        <v>76</v>
      </c>
      <c r="E56" s="14" t="s">
        <v>708</v>
      </c>
      <c r="F56" s="14" t="s">
        <v>717</v>
      </c>
      <c r="G56" s="14" t="s">
        <v>718</v>
      </c>
    </row>
    <row r="57" spans="1:7" ht="71.25">
      <c r="A57" s="7" t="s">
        <v>719</v>
      </c>
      <c r="B57" s="7" t="s">
        <v>720</v>
      </c>
      <c r="C57" s="7" t="s">
        <v>166</v>
      </c>
      <c r="D57" s="7" t="s">
        <v>109</v>
      </c>
      <c r="E57" s="7" t="s">
        <v>708</v>
      </c>
      <c r="F57" s="7" t="s">
        <v>721</v>
      </c>
      <c r="G57" s="7" t="s">
        <v>722</v>
      </c>
    </row>
    <row r="58" spans="1:7" ht="185.25">
      <c r="A58" s="14" t="s">
        <v>585</v>
      </c>
      <c r="B58" s="14" t="s">
        <v>723</v>
      </c>
      <c r="C58" s="14" t="s">
        <v>166</v>
      </c>
      <c r="D58" s="14" t="s">
        <v>109</v>
      </c>
      <c r="E58" s="14" t="s">
        <v>708</v>
      </c>
      <c r="F58" s="14" t="s">
        <v>713</v>
      </c>
      <c r="G58" s="14" t="s">
        <v>724</v>
      </c>
    </row>
    <row r="59" spans="1:7" ht="142.5">
      <c r="A59" s="7" t="s">
        <v>598</v>
      </c>
      <c r="B59" s="7" t="s">
        <v>725</v>
      </c>
      <c r="C59" s="7" t="s">
        <v>726</v>
      </c>
      <c r="D59" s="7" t="s">
        <v>109</v>
      </c>
      <c r="E59" s="7" t="s">
        <v>708</v>
      </c>
      <c r="F59" s="7" t="s">
        <v>713</v>
      </c>
      <c r="G59" s="7" t="s">
        <v>727</v>
      </c>
    </row>
    <row r="60" spans="1:7" ht="213.75">
      <c r="A60" s="14" t="s">
        <v>728</v>
      </c>
      <c r="B60" s="33" t="s">
        <v>729</v>
      </c>
      <c r="C60" s="33" t="s">
        <v>730</v>
      </c>
      <c r="D60" s="33" t="s">
        <v>731</v>
      </c>
      <c r="E60" s="33" t="s">
        <v>708</v>
      </c>
      <c r="F60" s="33" t="s">
        <v>704</v>
      </c>
      <c r="G60" s="33" t="s">
        <v>732</v>
      </c>
    </row>
    <row r="61" spans="1:7" ht="142.5">
      <c r="A61" s="7" t="s">
        <v>733</v>
      </c>
      <c r="B61" s="7" t="s">
        <v>734</v>
      </c>
      <c r="C61" s="7" t="s">
        <v>702</v>
      </c>
      <c r="D61" s="7" t="s">
        <v>98</v>
      </c>
      <c r="E61" s="7" t="s">
        <v>708</v>
      </c>
      <c r="F61" s="7" t="s">
        <v>713</v>
      </c>
      <c r="G61" s="7" t="s">
        <v>735</v>
      </c>
    </row>
    <row r="62" spans="1:1" ht="14.25">
      <c r="A62" s="15" t="s">
        <v>736</v>
      </c>
    </row>
  </sheetData>
  <autoFilter ref="A3:V42">
    <extLst/>
  </autoFilter>
  <mergeCells count="9">
    <mergeCell ref="A1:V1"/>
    <mergeCell ref="A46:I46"/>
    <mergeCell ref="A47:I47"/>
    <mergeCell ref="A48:I48"/>
    <mergeCell ref="J48:S48"/>
    <mergeCell ref="A49:I49"/>
    <mergeCell ref="L49:S49"/>
    <mergeCell ref="A51:V51"/>
    <mergeCell ref="A62:V62"/>
  </mergeCells>
  <conditionalFormatting sqref="J4:S42">
    <cfRule type="cellIs" dxfId="0" priority="1" operator="equal">
      <formula>"■■"</formula>
      <formula>"■■"</formula>
    </cfRule>
  </conditionalFormatting>
  <conditionalFormatting sqref="J46:S47">
    <cfRule type="cellIs" dxfId="1" priority="2" operator="greaterThan">
      <formula>4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>
  <sheetPr/>
  <dimension ref="H30"/>
  <sheetViews>
    <sheetView showGridLines="1" tabSelected="0" topLeftCell="A14" workbookViewId="0"/>
  </sheetViews>
  <sheetFormatPr defaultColWidth="9" defaultRowHeight="13.5" outlineLevelCol="7"/>
  <cols>
    <col min="1" max="1" width="31.0312" customWidth="1"/>
    <col min="2" max="2" width="16.125" customWidth="1"/>
    <col min="3" max="3" width="19.25" customWidth="1"/>
    <col min="4" max="4" width="56" customWidth="1"/>
    <col min="5" max="5" width="46" customWidth="1"/>
    <col min="6" max="6" width="13" customWidth="1"/>
    <col min="7" max="7" width="14.4727" customWidth="1"/>
    <col min="8" max="8" width="40" customWidth="1"/>
  </cols>
  <sheetData>
    <row r="1" spans="1:1" ht="24" customHeight="1">
      <c r="A1" s="4" t="s">
        <v>737</v>
      </c>
    </row>
    <row r="3" spans="1:8" ht="30" customHeight="1">
      <c r="A3" s="10" t="s">
        <v>738</v>
      </c>
      <c r="B3" s="10" t="s">
        <v>739</v>
      </c>
      <c r="C3" s="10" t="s">
        <v>740</v>
      </c>
      <c r="D3" s="10" t="s">
        <v>741</v>
      </c>
      <c r="E3" s="10" t="s">
        <v>742</v>
      </c>
      <c r="F3" s="10" t="s">
        <v>65</v>
      </c>
      <c r="G3" s="10" t="s">
        <v>574</v>
      </c>
      <c r="H3" s="10" t="s">
        <v>69</v>
      </c>
    </row>
    <row r="4" spans="1:8" ht="28.5">
      <c r="A4" s="28" t="s">
        <v>743</v>
      </c>
      <c r="B4" s="29">
        <v>-3</v>
      </c>
      <c r="C4" s="11">
        <v>46287</v>
      </c>
      <c r="D4" s="12" t="s">
        <v>744</v>
      </c>
      <c r="E4" s="12" t="s">
        <v>745</v>
      </c>
      <c r="F4" s="12" t="s">
        <v>76</v>
      </c>
      <c r="G4" s="29" t="s">
        <v>580</v>
      </c>
      <c r="H4" s="12" t="s">
        <v>746</v>
      </c>
    </row>
    <row r="5" spans="1:8" ht="14.25">
      <c r="A5" s="6" t="s">
        <v>747</v>
      </c>
      <c r="B5" s="17">
        <v>1</v>
      </c>
      <c r="C5" s="30">
        <f>=说明与总览!$B$19+B5</f>
        <v>46288</v>
      </c>
      <c r="D5" s="7" t="s">
        <v>748</v>
      </c>
      <c r="E5" s="7" t="s">
        <v>749</v>
      </c>
      <c r="F5" s="7" t="s">
        <v>750</v>
      </c>
      <c r="G5" s="17" t="s">
        <v>580</v>
      </c>
      <c r="H5" s="7" t="s">
        <v>751</v>
      </c>
    </row>
    <row r="6" spans="1:8" ht="28.5">
      <c r="A6" s="6" t="s">
        <v>752</v>
      </c>
      <c r="B6" s="17">
        <v>1</v>
      </c>
      <c r="C6" s="30">
        <f>=说明与总览!$B$19+B6</f>
        <v>46288</v>
      </c>
      <c r="D6" s="7" t="s">
        <v>753</v>
      </c>
      <c r="E6" s="7" t="s">
        <v>754</v>
      </c>
      <c r="F6" s="7" t="s">
        <v>750</v>
      </c>
      <c r="G6" s="17" t="s">
        <v>580</v>
      </c>
      <c r="H6" s="7" t="s">
        <v>755</v>
      </c>
    </row>
    <row r="7" spans="1:8" ht="28.5">
      <c r="A7" s="6" t="s">
        <v>756</v>
      </c>
      <c r="B7" s="17">
        <v>2</v>
      </c>
      <c r="C7" s="30">
        <f>=说明与总览!$B$19+B7</f>
        <v>46289</v>
      </c>
      <c r="D7" s="7" t="s">
        <v>757</v>
      </c>
      <c r="E7" s="7" t="s">
        <v>758</v>
      </c>
      <c r="F7" s="7" t="s">
        <v>750</v>
      </c>
      <c r="G7" s="17" t="s">
        <v>580</v>
      </c>
      <c r="H7" s="7" t="s">
        <v>759</v>
      </c>
    </row>
    <row r="8" spans="1:8" ht="28.5">
      <c r="A8" s="6" t="s">
        <v>760</v>
      </c>
      <c r="B8" s="17">
        <v>3</v>
      </c>
      <c r="C8" s="30">
        <f>=说明与总览!$B$19+B8</f>
        <v>46290</v>
      </c>
      <c r="D8" s="7" t="s">
        <v>761</v>
      </c>
      <c r="E8" s="7" t="s">
        <v>762</v>
      </c>
      <c r="F8" s="7" t="s">
        <v>750</v>
      </c>
      <c r="G8" s="17" t="s">
        <v>580</v>
      </c>
      <c r="H8" s="7" t="s">
        <v>763</v>
      </c>
    </row>
    <row r="9" spans="1:8" ht="28.5">
      <c r="A9" s="6" t="s">
        <v>764</v>
      </c>
      <c r="B9" s="17">
        <v>4</v>
      </c>
      <c r="C9" s="30">
        <f>=说明与总览!$B$19+B9</f>
        <v>46291</v>
      </c>
      <c r="D9" s="7" t="s">
        <v>765</v>
      </c>
      <c r="E9" s="7" t="s">
        <v>766</v>
      </c>
      <c r="F9" s="7" t="s">
        <v>750</v>
      </c>
      <c r="G9" s="17" t="s">
        <v>580</v>
      </c>
      <c r="H9" s="7" t="s">
        <v>767</v>
      </c>
    </row>
    <row r="11" spans="1:1" ht="20" customHeight="1">
      <c r="A11" s="9" t="s">
        <v>768</v>
      </c>
    </row>
    <row r="12" spans="1:8" ht="30" customHeight="1">
      <c r="A12" s="10" t="s">
        <v>769</v>
      </c>
      <c r="B12" s="10" t="s">
        <v>770</v>
      </c>
      <c r="C12" s="10" t="s">
        <v>771</v>
      </c>
      <c r="D12" s="10" t="s">
        <v>772</v>
      </c>
      <c r="E12" s="10" t="s">
        <v>773</v>
      </c>
      <c r="F12" s="10" t="s">
        <v>774</v>
      </c>
      <c r="G12" s="10" t="s">
        <v>775</v>
      </c>
      <c r="H12" s="10" t="s">
        <v>69</v>
      </c>
    </row>
    <row r="13" spans="1:8" ht="85.5">
      <c r="A13" s="12" t="s">
        <v>776</v>
      </c>
      <c r="B13" s="12" t="s">
        <v>777</v>
      </c>
      <c r="C13" s="12" t="s">
        <v>778</v>
      </c>
      <c r="D13" s="12" t="s">
        <v>76</v>
      </c>
      <c r="E13" s="12" t="s">
        <v>779</v>
      </c>
      <c r="F13" s="12" t="s">
        <v>780</v>
      </c>
      <c r="G13" s="12" t="s">
        <v>781</v>
      </c>
      <c r="H13" s="12" t="s">
        <v>782</v>
      </c>
    </row>
    <row r="14" spans="1:8" ht="85.5">
      <c r="A14" s="12" t="s">
        <v>783</v>
      </c>
      <c r="B14" s="12" t="s">
        <v>784</v>
      </c>
      <c r="C14" s="12" t="s">
        <v>785</v>
      </c>
      <c r="D14" s="12" t="s">
        <v>76</v>
      </c>
      <c r="E14" s="12" t="s">
        <v>786</v>
      </c>
      <c r="F14" s="12" t="s">
        <v>780</v>
      </c>
      <c r="G14" s="12" t="s">
        <v>787</v>
      </c>
      <c r="H14" s="12" t="s">
        <v>788</v>
      </c>
    </row>
    <row r="15" spans="1:8" ht="71.25">
      <c r="A15" s="7" t="s">
        <v>789</v>
      </c>
      <c r="B15" s="7" t="s">
        <v>790</v>
      </c>
      <c r="C15" s="7" t="s">
        <v>791</v>
      </c>
      <c r="D15" s="7" t="s">
        <v>109</v>
      </c>
      <c r="E15" s="7" t="s">
        <v>792</v>
      </c>
      <c r="F15" s="7" t="s">
        <v>793</v>
      </c>
      <c r="G15" s="7" t="s">
        <v>794</v>
      </c>
      <c r="H15" s="7" t="s">
        <v>795</v>
      </c>
    </row>
    <row r="16" spans="1:8" ht="99.75">
      <c r="A16" s="31" t="s">
        <v>796</v>
      </c>
      <c r="B16" s="31" t="s">
        <v>797</v>
      </c>
      <c r="C16" s="31" t="s">
        <v>798</v>
      </c>
      <c r="D16" s="31" t="s">
        <v>731</v>
      </c>
      <c r="E16" s="31" t="s">
        <v>799</v>
      </c>
      <c r="F16" s="31" t="s">
        <v>780</v>
      </c>
      <c r="G16" s="31" t="s">
        <v>800</v>
      </c>
      <c r="H16" s="31" t="s">
        <v>801</v>
      </c>
    </row>
    <row r="17" spans="1:8" ht="99.75">
      <c r="A17" s="7" t="s">
        <v>802</v>
      </c>
      <c r="B17" s="7" t="s">
        <v>803</v>
      </c>
      <c r="C17" s="7" t="s">
        <v>804</v>
      </c>
      <c r="D17" s="7" t="s">
        <v>281</v>
      </c>
      <c r="E17" s="7" t="s">
        <v>805</v>
      </c>
      <c r="F17" s="7" t="s">
        <v>793</v>
      </c>
      <c r="G17" s="7" t="s">
        <v>806</v>
      </c>
      <c r="H17" s="7" t="s">
        <v>807</v>
      </c>
    </row>
    <row r="18" spans="1:8" ht="85.5">
      <c r="A18" s="14" t="s">
        <v>808</v>
      </c>
      <c r="B18" s="14" t="s">
        <v>809</v>
      </c>
      <c r="C18" s="14" t="s">
        <v>810</v>
      </c>
      <c r="D18" s="14" t="s">
        <v>281</v>
      </c>
      <c r="E18" s="14" t="s">
        <v>811</v>
      </c>
      <c r="F18" s="14" t="s">
        <v>793</v>
      </c>
      <c r="G18" s="14" t="s">
        <v>812</v>
      </c>
      <c r="H18" s="14" t="s">
        <v>813</v>
      </c>
    </row>
    <row r="19" spans="1:8" ht="99.75">
      <c r="A19" s="7" t="s">
        <v>814</v>
      </c>
      <c r="B19" s="7" t="s">
        <v>815</v>
      </c>
      <c r="C19" s="7" t="s">
        <v>816</v>
      </c>
      <c r="D19" s="7" t="s">
        <v>207</v>
      </c>
      <c r="E19" s="7" t="s">
        <v>817</v>
      </c>
      <c r="F19" s="7" t="s">
        <v>793</v>
      </c>
      <c r="G19" s="7" t="s">
        <v>818</v>
      </c>
      <c r="H19" s="7" t="s">
        <v>813</v>
      </c>
    </row>
    <row r="20" spans="1:8" ht="71.25">
      <c r="A20" s="14" t="s">
        <v>819</v>
      </c>
      <c r="B20" s="14" t="s">
        <v>820</v>
      </c>
      <c r="C20" s="14" t="s">
        <v>821</v>
      </c>
      <c r="D20" s="14" t="s">
        <v>76</v>
      </c>
      <c r="E20" s="14" t="s">
        <v>822</v>
      </c>
      <c r="F20" s="14" t="s">
        <v>780</v>
      </c>
      <c r="G20" s="14" t="s">
        <v>823</v>
      </c>
      <c r="H20" s="14" t="s">
        <v>824</v>
      </c>
    </row>
    <row r="21" spans="1:8" ht="99.75">
      <c r="A21" s="7" t="s">
        <v>825</v>
      </c>
      <c r="B21" s="7" t="s">
        <v>826</v>
      </c>
      <c r="C21" s="7" t="s">
        <v>827</v>
      </c>
      <c r="D21" s="7" t="s">
        <v>91</v>
      </c>
      <c r="E21" s="7" t="s">
        <v>828</v>
      </c>
      <c r="F21" s="7" t="s">
        <v>829</v>
      </c>
      <c r="G21" s="7" t="s">
        <v>830</v>
      </c>
      <c r="H21" s="7" t="s">
        <v>75</v>
      </c>
    </row>
    <row r="23" spans="1:1" ht="20" customHeight="1">
      <c r="A23" s="9" t="s">
        <v>831</v>
      </c>
    </row>
    <row r="24" spans="1:8" ht="30" customHeight="1">
      <c r="A24" s="10" t="s">
        <v>832</v>
      </c>
      <c r="B24" s="10" t="s">
        <v>833</v>
      </c>
      <c r="C24" s="10" t="s">
        <v>834</v>
      </c>
      <c r="D24" s="10" t="s">
        <v>770</v>
      </c>
      <c r="E24" s="10" t="s">
        <v>835</v>
      </c>
      <c r="F24" s="10" t="s">
        <v>836</v>
      </c>
      <c r="G24" s="10" t="s">
        <v>837</v>
      </c>
      <c r="H24" s="10" t="s">
        <v>69</v>
      </c>
    </row>
    <row r="25" spans="1:8" ht="28.5">
      <c r="A25" s="7" t="s">
        <v>70</v>
      </c>
      <c r="B25" s="7" t="s">
        <v>838</v>
      </c>
      <c r="C25" s="7" t="s">
        <v>839</v>
      </c>
      <c r="D25" s="7" t="s">
        <v>840</v>
      </c>
      <c r="E25" s="7" t="s">
        <v>76</v>
      </c>
      <c r="F25" s="7" t="s">
        <v>841</v>
      </c>
      <c r="G25" s="7" t="s">
        <v>842</v>
      </c>
      <c r="H25" s="7" t="s">
        <v>843</v>
      </c>
    </row>
    <row r="26" spans="1:8" ht="21" customHeight="1">
      <c r="A26" s="14" t="s">
        <v>81</v>
      </c>
      <c r="B26" s="14" t="s">
        <v>844</v>
      </c>
      <c r="C26" s="14" t="s">
        <v>845</v>
      </c>
      <c r="D26" s="14" t="s">
        <v>846</v>
      </c>
      <c r="E26" s="14" t="s">
        <v>281</v>
      </c>
      <c r="F26" s="14" t="s">
        <v>841</v>
      </c>
      <c r="G26" s="14" t="s">
        <v>842</v>
      </c>
      <c r="H26" s="14" t="s">
        <v>75</v>
      </c>
    </row>
    <row r="27" spans="1:8" ht="57">
      <c r="A27" s="7" t="s">
        <v>87</v>
      </c>
      <c r="B27" s="7" t="s">
        <v>847</v>
      </c>
      <c r="C27" s="7" t="s">
        <v>848</v>
      </c>
      <c r="D27" s="7" t="s">
        <v>849</v>
      </c>
      <c r="E27" s="7" t="s">
        <v>281</v>
      </c>
      <c r="F27" s="7" t="s">
        <v>841</v>
      </c>
      <c r="G27" s="7" t="s">
        <v>842</v>
      </c>
      <c r="H27" s="7" t="s">
        <v>850</v>
      </c>
    </row>
    <row r="28" spans="1:8" ht="28.5">
      <c r="A28" s="14" t="s">
        <v>93</v>
      </c>
      <c r="B28" s="14" t="s">
        <v>851</v>
      </c>
      <c r="C28" s="14" t="s">
        <v>852</v>
      </c>
      <c r="D28" s="14" t="s">
        <v>853</v>
      </c>
      <c r="E28" s="14" t="s">
        <v>207</v>
      </c>
      <c r="F28" s="14" t="s">
        <v>841</v>
      </c>
      <c r="G28" s="14" t="s">
        <v>842</v>
      </c>
      <c r="H28" s="14" t="s">
        <v>854</v>
      </c>
    </row>
    <row r="29" spans="1:8" ht="71.25">
      <c r="A29" s="7" t="s">
        <v>100</v>
      </c>
      <c r="B29" s="7" t="s">
        <v>855</v>
      </c>
      <c r="C29" s="7" t="s">
        <v>856</v>
      </c>
      <c r="D29" s="7" t="s">
        <v>857</v>
      </c>
      <c r="E29" s="7" t="s">
        <v>76</v>
      </c>
      <c r="F29" s="7" t="s">
        <v>858</v>
      </c>
      <c r="G29" s="7" t="s">
        <v>842</v>
      </c>
      <c r="H29" s="7" t="s">
        <v>859</v>
      </c>
    </row>
    <row r="30" spans="1:8" ht="42.75">
      <c r="A30" s="14" t="s">
        <v>105</v>
      </c>
      <c r="B30" s="14" t="s">
        <v>860</v>
      </c>
      <c r="C30" s="14" t="s">
        <v>861</v>
      </c>
      <c r="D30" s="14" t="s">
        <v>862</v>
      </c>
      <c r="E30" s="14" t="s">
        <v>76</v>
      </c>
      <c r="F30" s="14" t="s">
        <v>863</v>
      </c>
      <c r="G30" s="14" t="s">
        <v>842</v>
      </c>
      <c r="H30" s="14" t="s">
        <v>864</v>
      </c>
    </row>
  </sheetData>
  <mergeCells count="3">
    <mergeCell ref="A1:H1"/>
    <mergeCell ref="A11:H11"/>
    <mergeCell ref="A23:H23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2026-09-23T10:15:10Z</dcterms:created>
  <dcterms:modified xsi:type="dcterms:W3CDTF">2026-09-23T10:15:10Z</dcterms:modified>
</cp:coreProperties>
</file>