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700" windowHeight="15660" tabRatio="600" firstSheet="0" activeTab="4" autoFilterDateGrouping="1"/>
  </bookViews>
  <sheets>
    <sheet name="说明与总览" sheetId="1" state="visible" r:id="rId1"/>
    <sheet name="账号与域名申请" sheetId="2" state="visible" r:id="rId2"/>
    <sheet name="资源清单-马尼拉" sheetId="3" state="visible" r:id="rId3"/>
    <sheet name="资源清单-新加坡" sheetId="4" state="visible" r:id="rId4"/>
    <sheet name="网络与安全规划" sheetId="5" state="visible" r:id="rId5"/>
    <sheet name="落地计划" sheetId="6" state="visible" r:id="rId6"/>
    <sheet name="里程碑与验收" sheetId="7" state="visible" r:id="rId7"/>
  </sheets>
  <definedNames>
    <definedName name="_xlnm._FilterDatabase" localSheetId="1" hidden="1">'账号与域名申请'!$A$3:$K$22</definedName>
    <definedName name="_xlnm._FilterDatabase" localSheetId="2" hidden="1">'资源清单-马尼拉'!$A$3:$M$42</definedName>
    <definedName name="_xlnm._FilterDatabase" localSheetId="3" hidden="1">'资源清单-新加坡'!$A$3:$M$23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31">
    <font>
      <name val="宋体"/>
      <charset val="134"/>
      <color theme="1"/>
      <sz val="11"/>
      <scheme val="minor"/>
    </font>
    <font>
      <name val="Microsoft YaHei"/>
      <charset val="134"/>
      <b val="1"/>
      <color rgb="FF1F4E79"/>
      <sz val="12"/>
    </font>
    <font>
      <name val="Microsoft YaHei"/>
      <charset val="134"/>
      <b val="1"/>
      <color rgb="FF833C00"/>
      <sz val="9"/>
    </font>
    <font>
      <name val="Microsoft YaHei"/>
      <charset val="134"/>
      <b val="1"/>
      <sz val="9"/>
    </font>
    <font>
      <name val="Microsoft YaHei"/>
      <charset val="134"/>
      <sz val="9"/>
    </font>
    <font>
      <name val="Microsoft YaHei"/>
      <charset val="134"/>
      <b val="1"/>
      <color rgb="FF1F4E79"/>
      <sz val="11"/>
    </font>
    <font>
      <name val="Microsoft YaHei"/>
      <charset val="134"/>
      <b val="1"/>
      <color rgb="FFC00000"/>
      <sz val="9"/>
    </font>
    <font>
      <name val="Microsoft YaHei"/>
      <charset val="134"/>
      <b val="1"/>
      <color rgb="FF1F4E79"/>
      <sz val="8"/>
    </font>
    <font>
      <name val="Microsoft YaHei"/>
      <charset val="134"/>
      <b val="1"/>
      <color rgb="FFFFFFFF"/>
      <sz val="9"/>
    </font>
    <font>
      <name val="Microsoft YaHei"/>
      <charset val="134"/>
      <b val="1"/>
      <color rgb="FF1F4E79"/>
      <sz val="14"/>
    </font>
    <font>
      <name val="Microsoft YaHei"/>
      <charset val="134"/>
      <b val="1"/>
      <color rgb="FF1F4E79"/>
      <sz val="13"/>
    </font>
    <font>
      <name val="Microsoft YaHei"/>
      <charset val="134"/>
      <i val="1"/>
      <sz val="8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40">
    <fill>
      <patternFill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theme="6" tint="0.79998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49">
    <xf numFmtId="0" fontId="0" fillId="0" borderId="0"/>
    <xf numFmtId="42" fontId="0" fillId="0" borderId="0" applyAlignment="1">
      <alignment vertical="center"/>
    </xf>
    <xf numFmtId="0" fontId="12" fillId="9" borderId="0" applyAlignment="1">
      <alignment vertical="center"/>
    </xf>
    <xf numFmtId="0" fontId="13" fillId="10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2" fillId="11" borderId="0" applyAlignment="1">
      <alignment vertical="center"/>
    </xf>
    <xf numFmtId="0" fontId="14" fillId="12" borderId="0" applyAlignment="1">
      <alignment vertical="center"/>
    </xf>
    <xf numFmtId="43" fontId="0" fillId="0" borderId="0" applyAlignment="1">
      <alignment vertical="center"/>
    </xf>
    <xf numFmtId="0" fontId="15" fillId="13" borderId="0" applyAlignment="1">
      <alignment vertical="center"/>
    </xf>
    <xf numFmtId="0" fontId="16" fillId="0" borderId="0" applyAlignment="1">
      <alignment vertical="center"/>
    </xf>
    <xf numFmtId="9" fontId="0" fillId="0" borderId="0" applyAlignment="1">
      <alignment vertical="center"/>
    </xf>
    <xf numFmtId="0" fontId="17" fillId="0" borderId="0" applyAlignment="1">
      <alignment vertical="center"/>
    </xf>
    <xf numFmtId="0" fontId="0" fillId="14" borderId="5" applyAlignment="1">
      <alignment vertical="center"/>
    </xf>
    <xf numFmtId="0" fontId="15" fillId="15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6" applyAlignment="1">
      <alignment vertical="center"/>
    </xf>
    <xf numFmtId="0" fontId="15" fillId="16" borderId="0" applyAlignment="1">
      <alignment vertical="center"/>
    </xf>
    <xf numFmtId="0" fontId="18" fillId="0" borderId="7" applyAlignment="1">
      <alignment vertical="center"/>
    </xf>
    <xf numFmtId="0" fontId="15" fillId="17" borderId="0" applyAlignment="1">
      <alignment vertical="center"/>
    </xf>
    <xf numFmtId="0" fontId="24" fillId="18" borderId="8" applyAlignment="1">
      <alignment vertical="center"/>
    </xf>
    <xf numFmtId="0" fontId="25" fillId="18" borderId="4" applyAlignment="1">
      <alignment vertical="center"/>
    </xf>
    <xf numFmtId="0" fontId="26" fillId="19" borderId="9" applyAlignment="1">
      <alignment vertical="center"/>
    </xf>
    <xf numFmtId="0" fontId="12" fillId="20" borderId="0" applyAlignment="1">
      <alignment vertical="center"/>
    </xf>
    <xf numFmtId="0" fontId="15" fillId="21" borderId="0" applyAlignment="1">
      <alignment vertical="center"/>
    </xf>
    <xf numFmtId="0" fontId="27" fillId="0" borderId="10" applyAlignment="1">
      <alignment vertical="center"/>
    </xf>
    <xf numFmtId="0" fontId="28" fillId="0" borderId="11" applyAlignment="1">
      <alignment vertical="center"/>
    </xf>
    <xf numFmtId="0" fontId="29" fillId="22" borderId="0" applyAlignment="1">
      <alignment vertical="center"/>
    </xf>
    <xf numFmtId="0" fontId="30" fillId="23" borderId="0" applyAlignment="1">
      <alignment vertical="center"/>
    </xf>
    <xf numFmtId="0" fontId="12" fillId="24" borderId="0" applyAlignment="1">
      <alignment vertical="center"/>
    </xf>
    <xf numFmtId="0" fontId="15" fillId="25" borderId="0" applyAlignment="1">
      <alignment vertical="center"/>
    </xf>
    <xf numFmtId="0" fontId="12" fillId="26" borderId="0" applyAlignment="1">
      <alignment vertical="center"/>
    </xf>
    <xf numFmtId="0" fontId="12" fillId="27" borderId="0" applyAlignment="1">
      <alignment vertical="center"/>
    </xf>
    <xf numFmtId="0" fontId="12" fillId="28" borderId="0" applyAlignment="1">
      <alignment vertical="center"/>
    </xf>
    <xf numFmtId="0" fontId="12" fillId="29" borderId="0" applyAlignment="1">
      <alignment vertical="center"/>
    </xf>
    <xf numFmtId="0" fontId="15" fillId="30" borderId="0" applyAlignment="1">
      <alignment vertical="center"/>
    </xf>
    <xf numFmtId="0" fontId="15" fillId="31" borderId="0" applyAlignment="1">
      <alignment vertical="center"/>
    </xf>
    <xf numFmtId="0" fontId="12" fillId="32" borderId="0" applyAlignment="1">
      <alignment vertical="center"/>
    </xf>
    <xf numFmtId="0" fontId="12" fillId="33" borderId="0" applyAlignment="1">
      <alignment vertical="center"/>
    </xf>
    <xf numFmtId="0" fontId="15" fillId="34" borderId="0" applyAlignment="1">
      <alignment vertical="center"/>
    </xf>
    <xf numFmtId="0" fontId="12" fillId="35" borderId="0" applyAlignment="1">
      <alignment vertical="center"/>
    </xf>
    <xf numFmtId="0" fontId="15" fillId="36" borderId="0" applyAlignment="1">
      <alignment vertical="center"/>
    </xf>
    <xf numFmtId="0" fontId="15" fillId="37" borderId="0" applyAlignment="1">
      <alignment vertical="center"/>
    </xf>
    <xf numFmtId="0" fontId="12" fillId="38" borderId="0" applyAlignment="1">
      <alignment vertical="center"/>
    </xf>
    <xf numFmtId="0" fontId="15" fillId="39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6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8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vertical="top" wrapText="1"/>
    </xf>
    <xf numFmtId="0" fontId="9" fillId="0" borderId="0" pivotButton="0" quotePrefix="0" xfId="0"/>
    <xf numFmtId="0" fontId="4" fillId="5" borderId="1" applyAlignment="1" pivotButton="0" quotePrefix="0" xfId="0">
      <alignment vertical="top" wrapText="1"/>
    </xf>
    <xf numFmtId="0" fontId="1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left" vertical="top" wrapText="1"/>
    </xf>
    <xf numFmtId="164" fontId="4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164" fontId="4" fillId="8" borderId="1" applyAlignment="1" pivotButton="0" quotePrefix="0" xfId="0">
      <alignment horizontal="left" vertical="top" wrapText="1"/>
    </xf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color rgb="FFFFFFFF"/>
      </font>
      <fill>
        <patternFill patternType="solid">
          <fgColor rgb="FF4472C4"/>
          <bgColor rgb="FF4472C4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topLeftCell="A12" workbookViewId="0">
      <selection activeCell="A1" sqref="A1:B1"/>
    </sheetView>
  </sheetViews>
  <sheetFormatPr baseColWidth="8" defaultColWidth="9" defaultRowHeight="13.5"/>
  <cols>
    <col width="33.125" customWidth="1" style="11" min="1" max="1"/>
    <col width="104" customWidth="1" style="11" min="2" max="2"/>
  </cols>
  <sheetData>
    <row r="1" ht="19.5" customHeight="1" s="11">
      <c r="A1" s="41" t="inlineStr">
        <is>
          <t>new-api 菲律宾部署方案 · 部署清单与 5 天冲刺落地计划（2 人全职 + 每日 3 段）</t>
        </is>
      </c>
    </row>
    <row r="3" ht="15" customHeight="1" s="11">
      <c r="A3" s="18" t="inlineStr">
        <is>
          <t>项目信息</t>
        </is>
      </c>
    </row>
    <row r="4" ht="14.25" customHeight="1" s="11">
      <c r="A4" s="42" t="inlineStr">
        <is>
          <t>项目名称</t>
        </is>
      </c>
      <c r="B4" s="16" t="inlineStr">
        <is>
          <t>new-api AI 网关（Go + React 单体二进制）· 菲律宾站部署</t>
        </is>
      </c>
    </row>
    <row r="5" ht="14.25" customHeight="1" s="11">
      <c r="A5" s="42" t="inlineStr">
        <is>
          <t>文档版本</t>
        </is>
      </c>
      <c r="B5" s="16" t="inlineStr">
        <is>
          <t>v2.3 + 2026-10-08 实况回改 + 2026-10-12 与指南同步（容量口径修订 + 三项遗留决策定案；2026-10-12 按《阿里云国际站菲律宾部署_详细操作指南-v2.0》当日云侧实况逐格回改，依据见「修订要点」⑭）</t>
        </is>
      </c>
    </row>
    <row r="6" ht="14.25" customHeight="1" s="11">
      <c r="A6" s="42" t="inlineStr">
        <is>
          <t>编制日期</t>
        </is>
      </c>
      <c r="B6" s="16" t="inlineStr">
        <is>
          <t>2026-09-24</t>
        </is>
      </c>
    </row>
    <row r="7" ht="28.5" customHeight="1" s="11">
      <c r="A7" s="42" t="inlineStr">
        <is>
          <t>编制依据</t>
        </is>
      </c>
      <c r="B7" s="16" t="inlineStr">
        <is>
          <t>impl_deploy.md 第七章「阿里云部署方案（菲律宾 + 泰国）」7.1–7.10 与第八章「SLA 99.95% 达成方案」8.1–8.6；本项目评审报告 部署方案评审-2026-09-23.md</t>
        </is>
      </c>
    </row>
    <row r="8" ht="14.25" customHeight="1" s="11">
      <c r="A8" s="42" t="inlineStr">
        <is>
          <t>主站点</t>
        </is>
      </c>
      <c r="B8" s="16" t="inlineStr">
        <is>
          <t>阿里云国际站 · 菲律宾 马尼拉 ap-southeast-6（承载菲律宾常态流量）</t>
        </is>
      </c>
    </row>
    <row r="9" ht="14.25" customHeight="1" s="11">
      <c r="A9" s="42" t="inlineStr">
        <is>
          <t>备 region</t>
        </is>
      </c>
      <c r="B9" s="16" t="inlineStr">
        <is>
          <t>阿里云国际站 · 新加坡 ap-southeast-1（仅承载 PH 备工作负载；泰国备为二期，不共用本集群）</t>
        </is>
      </c>
    </row>
    <row r="10" ht="28.5" customHeight="1" s="11">
      <c r="A10" s="42" t="inlineStr">
        <is>
          <t>数据库策略</t>
        </is>
      </c>
      <c r="B10" s="16" t="inlineStr">
        <is>
          <t>RDS PostgreSQL 高可用版【仅部署于马尼拉】；新加坡不部署任何数据库（含只读副本与 DTS）。备 region 经 RDS 公网地址 + TLS(verify-full) + IP 白名单读写马尼拉主库，不双写、无 DTS 链路</t>
        </is>
      </c>
    </row>
    <row r="11" ht="28.5" customHeight="1" s="11">
      <c r="A11" s="42" t="inlineStr">
        <is>
          <t>上游出口</t>
        </is>
      </c>
      <c r="B11" s="16" t="inlineStr">
        <is>
          <t>各 region NAT 固定 EIP 池直出上游（马尼拉 4 个 + 新加坡 4 个 = 8 个），不启用 GA；上游白名单 = 上述 8 个 EIP，须提交并逐一确认生效。GA 列为二期可选优化（原 v2.0「EIP -&gt; GA -&gt; 上游」与「EIP 提交白名单」自相矛盾，已按此口径收敛）</t>
        </is>
      </c>
    </row>
    <row r="12" ht="14.25" customHeight="1" s="11">
      <c r="A12" s="42" t="inlineStr">
        <is>
          <t>目标 SLA</t>
        </is>
      </c>
      <c r="B12" s="16" t="inlineStr">
        <is>
          <t>≥ 99.95%（月度不可用预算 21.6 分钟）；判定口径与排除项见「里程碑与验收」SLA 指标口径与排除项</t>
        </is>
      </c>
    </row>
    <row r="13" ht="28.5" customHeight="1" s="11">
      <c r="A13" s="42" t="inlineStr">
        <is>
          <t>总工期</t>
        </is>
      </c>
      <c r="B13" s="16" t="inlineStr">
        <is>
          <t>5 个自然日（D1–D5），每天 3 个工作段（S1 上午 09:00–13:00 / S2 下午 14:00–18:00 / S3 晚间 19:00–23:00，晚间段为加班段）；2 人全职，共 15 个时段 / 120 人时产能，计划投入 113 人时（94.2%），仅保留 7 人时缓冲。⚠ 现行工期口径 = 1 人 × 4 天 / 8 个执行窗口（见指南 §0.2–§0.4），本表 5 天 / 2 人 / 15 段为 v2.3 历史口径，保留供追溯</t>
        </is>
      </c>
    </row>
    <row r="14" ht="28.5" customHeight="1" s="11">
      <c r="A14" s="42" t="inlineStr">
        <is>
          <t>关键前提（门禁 G0）</t>
        </is>
      </c>
      <c r="B14" s="16" t="inlineStr">
        <is>
          <t>T-5 前置项（企业实名认证、资源配额审批、域名 NS 生效、证书签发、云产品开通、RAM/审计预建）与 T-3 前置项（代码侧补建改造、备 region 容量与配额、连接数方案、SLA 口径、staging/perf 方案）必须全部完成；任一项未完成则 D1 不得启动</t>
        </is>
      </c>
    </row>
    <row r="15" ht="71.25" customHeight="1" s="11">
      <c r="A15" s="42" t="inlineStr">
        <is>
          <t>工期风险等级</t>
        </is>
      </c>
      <c r="B15" s="16" t="inlineStr">
        <is>
          <t>高：5 天口径利用率 94.2%，仅余 7 人时缓冲（约 1.75 段/人），且为连续 5 天 × 12 小时（含晚间加班段）作业；任一人阻塞/请假、任一外部依赖（配额审批、实名认证、代码侧改造交付）延期即直接顺延，无内部消化空间。缓解措施与可选替代方案见「里程碑与验收」风险表、裁剪预案与工期口径变更说明。三项遗留决策已于 2026-09-24 定案：① 保留 D4/D5 国庆窗口，不采用顺延至 2026-10-08 的方案，改为锁定假期值班与工单加急；② T-5 = 2026-09-23 已过，本次不改基准、不顺延 D1；③ 本期不增加第 3 人，人力冗余风险由 A/B 互备与裁剪预案收敛。三项均为风险自担项，处置与残余风险见「里程碑与验收」风险表 A13 / A16 / A28 行。</t>
        </is>
      </c>
    </row>
    <row r="16" ht="28.5" customHeight="1" s="11">
      <c r="A16" s="42" t="inlineStr">
        <is>
          <t>交付范围（本次）</t>
        </is>
      </c>
      <c r="B16" s="16" t="inlineStr">
        <is>
          <t>仅菲律宾站点（马尼拉主站 + 新加坡 PH 备）。泰国站点（曼谷）为二期，不在本次交付范围；本方案上线后泰国用户接入马尼拉，RTT 55–80 ms，与 impl_deploy.md 1.2「主站点不能只放一个区域」的结论存在偏差，须在合同/验收口径中书面说明</t>
        </is>
      </c>
    </row>
    <row r="17" ht="14.25" customHeight="1" s="11">
      <c r="A17" s="42" t="inlineStr">
        <is>
          <t>SLA 达成最低配置</t>
        </is>
      </c>
      <c r="B17" s="16" t="inlineStr">
        <is>
          <t>双站点 + 新加坡备 region + 主站 ≥4 副本跨 2 AZ + RDS 高可用 + Redis 限流降级改造；缺任一项则 99.95% 不成立（impl_deploy.md 8.2）</t>
        </is>
      </c>
    </row>
    <row r="18" ht="156.75" customHeight="1" s="11">
      <c r="A18" s="42" t="inlineStr">
        <is>
          <t>修订要点（v2.0 -&gt; v2.3）</t>
        </is>
      </c>
      <c r="B18" s="16" t="inlineStr">
        <is>
          <t>① 工期 5 天 -&gt; 9 天（v2.0 -&gt; v2.1：56 项任务压缩进 8 天/16 时段经 600 次重排无可行解）；② 前置期 T-3 的 0 天改为真实前置 T-5；③ 补 PgBouncer/RDS 代理、cluster-autoscaler、备 region HPA 与 1.5× 接管容量；④ 补 staging/perf、运维访问面、Tair 预热、PITR 演练、连接数预算、Grafana、带宽与成本量化、上游配额盘点；⑤ 安全 3 改（ALB 源收敛为 WAF/DCDN 回源段、支付回调源 IP 白名单、SESSION_SECRET 双密钥轮换）；⑥ 修正证书部署时序、依赖倒挂、J48 负荷公式、门禁计数与编号映射、域名/数据盘/RTT 阈值口径；⑦【v2.2】工期 9 天 -&gt; 5 天：把每天 2 个半天时段改为 3 个工作段（新增 19:00–23:00 晚间加班段），15 时段 × 2 人 × 4 人时 = 120 人时产能，56 项任务在 15 段内重排完成、0 超载；⑧【v2.3】备 region 容量口径改为「本期仅承载 PH 备、不含泰国备」：节点数按 Pod requests 反算并留 ≥ 20% 系统组件余量 → 8 节点，节点池 2–12 改 2–8、配额 96 改 64 vCPU；统一「1.5×」基准为 maxReplicas × 1.5；⑨【2026-09-24 决策定案】三项遗留决策：保留 D4/D5 国庆窗口（不顺延）、T-5 = 2026-09-23 基准不动、本期不增加第 3 人。⑩【2026-10-08 按指南 v2.0（2026-10-07 版）实况回改】共回改 146 格：① 机型 g8i → g9i 首选（三机型列表，实开 g9ae）；② 主站 HPA 4–16 → 4–13、备站接管 16×1.5=24 → 13×1.5=19.5 → 20 副本；PDB minAvailable=3 → 70%；③ 新加坡配额实批按量 96 vCPU、节点池上限 12（v2.3 的 64 vCPU / 8 节点保留为容量下限）；④ RDS 规格 16C64G → pg.n4.2c.2m（2C8G，max_connections=800）；⑤ PgBouncer 自建 → RDS 内置托管池（F10 撤销）；⑥ 日志库 → 马尼拉 ClickHouse 企业版单 AZ（F9），不再购买新加坡 CK；⑦ 凭据链路 → 不使用 KMS/RRSA/ExternalSecret（2026-10-05 裁定），改手工 Opaque Secret；⑧ ECS 节点池付费方式定为按量 PostPaid（F13），成本按实况整机单价重算；⑨ 备站 Pod SQL_MAX_OPEN_CONNS=10（CM 100）；⑩ 伸缩组件实名 ack-goatscaler（非 cluster-autoscaler，观测入口 cm/kube-system/autoscaler-meta）；⑪ 任务 53 收敛口径由「30s × 节点数」改为「≤30 s（与节点数、跨 region 无关）」；⑫ 健康检查路径 /api/status 与全局限流冲突（应改 /readyz 并免限流）；⑬ 落地计划 AC 列按实况回填（21 张已完成 / 8 张部分交付 / 27 张未开始）。⑭【2026-10-12 与指南同步】：① G5 证书闭环——实购 Alibaba 品牌 DV 通配符 ali.dv.w（US$207，CertIdentifier=606823-ap-southeast-1，SAN *.likha.hk + likha.hk，链至 DigiCert Global Root G2），原 GlobalSign OV（US$997）已全额退款；⚠ 单张有效期仅 198 天（→ 2027-04-28）且 **AutoReissue=enable**（2026-10-12 经授权 UpdateInstance 开启，GetInstanceDetail 与 ListInstances 双路回读；写前 disable）⇒ 实例级托管续签已开，但 ALB 无 CAS 部署联动（实测 ListDeploymentJob、ListCloudResources(alb) 全空）⇒ 新证书仍须人工换绑两地 HTTPS 监听（2027-03-29 前，动作见 deploy/cert/targets.yaml R1–R4）；② 两地 ALB 443 监听 + 证书 + HTTP→HTTPS 301 已落地并验收（任务 19 V1–V5 全过、任务 25 闭合），requestTimeout 口径 180s → 600s（ALB 硬上限）；③ WAF 仍未接入（账号无实例；版本由「企业版」改为待裁定，2026-10-10 选型建议高级版）；④ GTM 仍挂起（任务 21，2026-09-30 裁定）；⑤ 备站跨区写马尼拉 CK 已实测在位（PUBLIC 端点 + sg_eip 白名单，2026-10-09 复核），原「待裁定」闭合；⑥ 任务 26 观测 4/4 闭环、任务 27 canary V1–V6 全过、任务 53 按更正判据通过；⑦ 镜像前缀按实测 EE 域名更正（B27）。⑮【2026-10-12 WAF 购买决策】：项目负责人裁定本次部署**不购买 WAF 3.0**（暂缓、非取消）——最低档高级版 3,880 元/月 ≈US$556 + 2,000 QPS + 日志服务单独起购，相对当前业务量过高，且实例只能控制台订阅（waf-openapi 无 CreateInstance、CLI 不能报价下单）。连锁更正：任务 20 整体挂起、V1–V4 从上线门禁移出；任务 47「ALB 入向不收敛」失去 WAF 缓解（443 直接暴露公网、无前置 L7 层，收敛与否重开为待裁定）；任务 40 证书部署对象只剩 ALB；任务 48 回调防线确定为两层（应用白名单 + 签名）；任务 52 成本表 WAF 行归零；M3 通过标准去掉 WAF；备站接管后同样无 L7 防护（任务 25 坑 2 转为知情接受风险）；CC 攻击的损失形态改为 HPA 按量扩容 + ALB LCU + 上游 token，故预算 80% 告警与异常突增巡检升为必须项。复评触发条件＝日请求量显著增长 / 出现真实攻击或 CC 事件。依据＝指南 §0.5 F15（2026-10-12 裁定）。</t>
        </is>
      </c>
    </row>
    <row r="19" ht="15" customHeight="1" s="11">
      <c r="A19" s="18" t="inlineStr">
        <is>
          <t>假设与关键参数（黄色底单元格需按实际情况确认/替换）</t>
        </is>
      </c>
    </row>
    <row r="20" ht="14.25" customHeight="1" s="11">
      <c r="A20" s="19" t="inlineStr">
        <is>
          <t>参数</t>
        </is>
      </c>
      <c r="B20" s="19" t="inlineStr">
        <is>
          <t>取值</t>
        </is>
      </c>
    </row>
    <row r="21" ht="14.25" customHeight="1" s="11">
      <c r="A21" s="42" t="inlineStr">
        <is>
          <t>部署启动日（D1，落地计划日期基准）</t>
        </is>
      </c>
      <c r="B21" s="46" t="n">
        <v>46293</v>
      </c>
    </row>
    <row r="22" ht="28.5" customHeight="1" s="11">
      <c r="A22" s="42" t="inlineStr">
        <is>
          <t>前置启动日（T-5，账号/配额/域名/证书/产品开通须在此日发起）</t>
        </is>
      </c>
      <c r="B22" s="46" t="n">
        <v>46288</v>
      </c>
    </row>
    <row r="23" ht="14.25" customHeight="1" s="11">
      <c r="A23" s="42" t="inlineStr">
        <is>
          <t>投入人力</t>
        </is>
      </c>
      <c r="B23" s="16" t="inlineStr">
        <is>
          <t>2 人全职 —— 人员A：基础设施/网络/接入/SRE；人员B：数据/应用/CI-CD/DevOps（已决策 2026-09-24：本期不增加第 3 人）</t>
        </is>
      </c>
    </row>
    <row r="24" ht="42.75" customHeight="1" s="11">
      <c r="A24" s="42" t="inlineStr">
        <is>
          <t>人力模型</t>
        </is>
      </c>
      <c r="B24" s="16" t="inlineStr">
        <is>
          <t>每时段 = 4 小时，单人每时段上限 4 人时；每天 3 个时段 = 2 人 × 12 小时 = 24 人时/天；5 天共 15 个时段（S1–S15）= 120 人时产能。（对比：v2.1 的 9 天口径为 2 人 × 8 小时/天 × 9 天 = 144 人时）。已决策（2026-09-24）：本期维持 2 人、不增加第 3 人，7 人时缓冲（94.2% 利用率）为可接受的剩余风险。</t>
        </is>
      </c>
    </row>
    <row r="25" ht="14.25" customHeight="1" s="11">
      <c r="A25" s="42" t="inlineStr">
        <is>
          <t>业务域名（统一口径，需替换为正式域名）</t>
        </is>
      </c>
      <c r="B25" s="44" t="inlineStr">
        <is>
          <t>www.likha.hk（全表统一；替代原 example-ph.com 示例）；备站公网入口 sg.likha.hk（2026-10-09 裁定新增，仅接管/直连，不进 GTM 池）</t>
        </is>
      </c>
    </row>
    <row r="26" ht="14.25" customHeight="1" s="11">
      <c r="A26" s="42" t="inlineStr">
        <is>
          <t>运维域名（统一口径）</t>
        </is>
      </c>
      <c r="B26" s="44" t="inlineStr">
        <is>
          <t>ops.likha.hk</t>
        </is>
      </c>
    </row>
    <row r="27" ht="14.25" customHeight="1" s="11">
      <c r="A27" s="42" t="inlineStr">
        <is>
          <t>镜像仓库前缀</t>
        </is>
      </c>
      <c r="B27" s="16" t="inlineStr">
        <is>
          <t>acr-newapi-mnl-registry-vpc.ap-southeast-6.cr.aliyuncs.com/newapi-prod/new-api（2026-10-12 按指南 F8/§2 更正：ACR 企业版域名带实例名前缀；旧 registry-vpc.ap-southeast-6.aliyuncs.com/newapi/ 为个人版形态，命名空间 newapi 实测不存在）；⚠ 现网主镜像仓库实名 newapi-prod/newapi-master，本行 new-api 属任务 16 未回填的单仓口径待办</t>
        </is>
      </c>
    </row>
    <row r="28" ht="14.25" customHeight="1" s="11">
      <c r="A28" s="42" t="inlineStr">
        <is>
          <t>单实例规格</t>
        </is>
      </c>
      <c r="B28" s="16" t="inlineStr">
        <is>
          <t>ecs.g9i.2xlarge（8 vCPU / 32 GiB，**首选**）；节点池实配三机型列表 [g9i.2xlarge, g8ine.2xlarge, g9ae.2xlarge]，2026-10-05 实际开出 4 台 **ecs.g9ae.2xlarge**（g8i 全系未在马尼拉上架）。Pod request 2 vCPU / 4 GiB，limit 4 vCPU / 8 GiB</t>
        </is>
      </c>
    </row>
    <row r="29" ht="14.25" customHeight="1" s="11">
      <c r="A29" s="42" t="inlineStr">
        <is>
          <t>负载与副本口径</t>
        </is>
      </c>
      <c r="B29" s="16" t="inlineStr">
        <is>
          <t>主站 stable 常态 4 副本、HPA **4–13**（2026-10-06 二次裁定：`limits.cpu 64` 下真实天花板 13，原 4–16 顶不到）；PDB minAvailable 70%。备 region PH 备常态 2 副本、HPA **2–20**（接管上限 = 主站 maxReplicas 13 × 1.5 = 19.5 → 20 副本）</t>
        </is>
      </c>
    </row>
    <row r="30" ht="42.75" customHeight="1" s="11">
      <c r="A30" s="42" t="inlineStr">
        <is>
          <t>节点池与配额口径</t>
        </is>
      </c>
      <c r="B30" s="44" t="inlineStr">
        <is>
          <t>马尼拉：常态 4 节点 / 自动伸缩 4–8（8 × 8 vCPU = 64，等于按量配额上限，顶满零余量）；新加坡：常态 2 节点 / 自动伸缩 2–12（实况配额 96/96 vCPU，顶满零余量）。本期仅承载 PH 备：接管 20 副本 × Pod request 2 vCPU = 40 vCPU，÷ (7.9 × 0.8 = 6.32) ≈ 6.3 → 7 节点 ⇒ v2.3 的「8 节点 / 64 vCPU」反算仍成立（容量下限），实况上限为 12 节点 / 96 vCPU，属历史余量；二期引入 TH 备前须重核</t>
        </is>
      </c>
    </row>
    <row r="31" ht="14.25" customHeight="1" s="11">
      <c r="A31" s="42" t="inlineStr">
        <is>
          <t>上游出口与白名单</t>
        </is>
      </c>
      <c r="B31" s="44" t="inlineStr">
        <is>
          <t>马尼拉 NAT EIP ×4 + 新加坡 NAT EIP ×4；均提交上游做 IP 白名单（不启用 GA）</t>
        </is>
      </c>
    </row>
    <row r="32">
      <c r="A32" s="45" t="inlineStr">
        <is>
          <t>日期口径：D1 = 部署启动日（2026-09-28），落地计划中每项任务的日期均由此基准自动推算；任务均为「工作段」粒度，D1 上午 = S1、D1 下午 = S2、D1 晚间 = S3 …… D5 晚间 = S15；每天 3 段 = 上午 09:00–13:00 / 下午 14:00–18:00 / 晚间 19:00–23:00（晚间为加班段，建议仅排低风险任务，关键变更与上线操作集中在 S1/S2）。数据来源：资源规格、数量与关键配置取自 impl_deploy.md 第 7.2 / 7.4 / 7.9 / 8.5 节；人时与配额为估算口径，需按实际情况与团队熟练度校准。前置期口径：T-5 = 2026-09-23（编制日 2026-09-24 时该时点已过）；经 2026-09-24 决策保持原基准不变、不顺延 D1，前置项（G1–G13）若未在本基准内闭环，仍按门禁规则顺延 D1（见风险表 A13 行）。</t>
        </is>
      </c>
      <c r="B32" s="9" t="n"/>
    </row>
    <row r="34" ht="15" customHeight="1" s="11">
      <c r="A34" s="18" t="inlineStr">
        <is>
          <t>清单结构</t>
        </is>
      </c>
    </row>
    <row r="35" ht="28.5" customHeight="1" s="11">
      <c r="A35" s="42" t="inlineStr">
        <is>
          <t>① 账号与域名申请</t>
        </is>
      </c>
      <c r="B35" s="16" t="inlineStr">
        <is>
          <t>19 项前置申请：国际站注册与企业实名、支付与配额（备 region 规划 ≥64 vCPU，**实批按量 96 vCPU**）、RAM/MFA/审计、11 类云产品开通（**KMS 凭据管家不采购**）、域名实名与 NS 托管、SSL 证书、告警通道；标注【T-5 / T-3 前置】与等待时长；★ 门禁项 12 项与门禁清单 G1–G13 的映射见门禁清单「门禁作用」列</t>
        </is>
      </c>
    </row>
    <row r="36" ht="42.75" customHeight="1" s="11">
      <c r="A36" s="42" t="inlineStr">
        <is>
          <t>② 资源清单-马尼拉</t>
        </is>
      </c>
      <c r="B36" s="16" t="inlineStr">
        <is>
          <t>主站点（ap-southeast-6）39 项资源：网络、接入、计算、数据、缓存、日志、存储、安全、观测，以及 master / stable / canary 三个工作负载；新增 **RDS 内置托管 PgBouncer（F10 撤销自建）**、**ack-goatscaler（ACK 托管弹性组件）**、证书部署与 SNI 校验、staging/perf、支付回调白名单、连接数预算、出口带宽规格、Grafana、运维访问面、成本看板</t>
        </is>
      </c>
    </row>
    <row r="37" ht="28.5" customHeight="1" s="11">
      <c r="A37" s="42" t="inlineStr">
        <is>
          <t>③ 资源清单-新加坡</t>
        </is>
      </c>
      <c r="B37" s="16" t="inlineStr">
        <is>
          <t>备 region（ap-southeast-1）20 项资源：【RDS 数量为 0，不部署】；新增节点池自动伸缩与 PH 备 HPA（接管上限 = 主站 maxReplicas **13 × 1.5 = 19.5 → 20 副本**）。本期仅承载 PH 备（泰国备为二期、不共用本集群），节点池反算下限 8 节点 / 64 vCPU，实况上限 12 节点 / 96 vCPU</t>
        </is>
      </c>
    </row>
    <row r="38" ht="28.5" customHeight="1" s="11">
      <c r="A38" s="42" t="inlineStr">
        <is>
          <t>④ 网络与安全规划</t>
        </is>
      </c>
      <c r="B38" s="16" t="inlineStr">
        <is>
          <t>VPC/vSwitch 网段、EIP 规划、安全组逐条规则（入向禁止 0.0.0.0/0，仅放行 WAF/DCDN 回源段与对端 CIDR）、**凭据与轮换周期（2026-10-05 裁定不使用 KMS：手工 Opaque Secret 注入；SESSION_SECRET 双密钥过渡）**</t>
        </is>
      </c>
    </row>
    <row r="39" ht="28.5" customHeight="1" s="11">
      <c r="A39" s="42" t="inlineStr">
        <is>
          <t>⑤ 落地计划</t>
        </is>
      </c>
      <c r="B39" s="16" t="inlineStr">
        <is>
          <t>5 天 56 项任务，按 D1–D5 × 上午/下午/晚间共 15 个时段排布；含负责人员、前置依赖、人时、甘特条、验收标准，并附【T-5/T-3 前置门禁清单】与【人力负荷校验】（每时段单人 ≤ 4 人时）。（⚠ 现行工期口径 = 1 人 × 4 天，见指南 §0.2–§0.4）</t>
        </is>
      </c>
    </row>
    <row r="40" ht="14.25" customHeight="1" s="11">
      <c r="A40" s="42" t="inlineStr">
        <is>
          <t>⑥ 里程碑与验收</t>
        </is>
      </c>
      <c r="B40" s="16" t="inlineStr">
        <is>
          <t>G0 门禁 + M1–M5 里程碑、验收证据、SLA 指标口径与排除项、15 项关键风险、7 项工期裁剪预案</t>
        </is>
      </c>
    </row>
  </sheetData>
  <mergeCells count="5">
    <mergeCell ref="A19:B19"/>
    <mergeCell ref="A32:B32"/>
    <mergeCell ref="A1:B1"/>
    <mergeCell ref="A3:B3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activeCell="A1" sqref="A1"/>
      <selection pane="topRight" activeCell="A1" sqref="A1"/>
      <selection pane="bottomLeft" activeCell="A1" sqref="A1"/>
      <selection pane="bottomRight" activeCell="A1" sqref="A1:K1"/>
    </sheetView>
  </sheetViews>
  <sheetFormatPr baseColWidth="8" defaultColWidth="9" defaultRowHeight="13.5"/>
  <cols>
    <col width="6.875" customWidth="1" style="11" min="1" max="1"/>
    <col width="8.5" customWidth="1" style="11" min="2" max="2"/>
    <col width="34.75" customWidth="1" style="11" min="3" max="3"/>
    <col width="18" customWidth="1" style="11" min="4" max="4"/>
    <col width="102.5" customWidth="1" style="11" min="5" max="5"/>
    <col width="6.625" customWidth="1" style="11" min="6" max="6"/>
    <col width="8.125" customWidth="1" style="11" min="7" max="7"/>
    <col width="25.875" customWidth="1" style="11" min="8" max="8"/>
    <col width="16.875" customWidth="1" style="11" min="9" max="9"/>
    <col width="8.125" customWidth="1" style="11" min="10" max="10"/>
    <col width="61.375" customWidth="1" style="11" min="11" max="11"/>
  </cols>
  <sheetData>
    <row r="1" ht="21" customHeight="1" s="11">
      <c r="A1" s="39" t="inlineStr">
        <is>
          <t>阿里云国际站 · 账号、实名、配额与域名申请清单（★ = 阻塞 D1 启动的 T-5 / T-3 前置项）</t>
        </is>
      </c>
    </row>
    <row r="3" ht="14.25" customHeight="1" s="11">
      <c r="A3" s="35" t="inlineStr">
        <is>
          <t>序号</t>
        </is>
      </c>
      <c r="B3" s="35" t="inlineStr">
        <is>
          <t>类别</t>
        </is>
      </c>
      <c r="C3" s="35" t="inlineStr">
        <is>
          <t>事项</t>
        </is>
      </c>
      <c r="D3" s="35" t="inlineStr">
        <is>
          <t>入口 / 平台</t>
        </is>
      </c>
      <c r="E3" s="35" t="inlineStr">
        <is>
          <t>关键要求与参数</t>
        </is>
      </c>
      <c r="F3" s="35" t="inlineStr">
        <is>
          <t>前置依赖</t>
        </is>
      </c>
      <c r="G3" s="35" t="inlineStr">
        <is>
          <t>负责角色</t>
        </is>
      </c>
      <c r="H3" s="35" t="inlineStr">
        <is>
          <t>启动时点</t>
        </is>
      </c>
      <c r="I3" s="35" t="inlineStr">
        <is>
          <t>工期 / 等待时长</t>
        </is>
      </c>
      <c r="J3" s="35" t="inlineStr">
        <is>
          <t>是否门禁项</t>
        </is>
      </c>
      <c r="K3" s="35" t="inlineStr">
        <is>
          <t>备注</t>
        </is>
      </c>
    </row>
    <row r="4" ht="14.25" customHeight="1" s="11">
      <c r="A4" s="36" t="inlineStr">
        <is>
          <t>1</t>
        </is>
      </c>
      <c r="B4" s="36" t="inlineStr">
        <is>
          <t>账号注册</t>
        </is>
      </c>
      <c r="C4" s="36" t="inlineStr">
        <is>
          <t>注册阿里云国际站账号</t>
        </is>
      </c>
      <c r="D4" s="36" t="inlineStr">
        <is>
          <t>alibabacloud.com</t>
        </is>
      </c>
      <c r="E4" s="36" t="inlineStr">
        <is>
          <t>企业域名邮箱注册；注册国家/地区选 Philippines；绑定可接收国际短信的手机号</t>
        </is>
      </c>
      <c r="F4" s="36" t="inlineStr">
        <is>
          <t>—</t>
        </is>
      </c>
      <c r="G4" s="36" t="inlineStr">
        <is>
          <t>项目负责人</t>
        </is>
      </c>
      <c r="H4" s="36" t="inlineStr">
        <is>
          <t>T-5 前置</t>
        </is>
      </c>
      <c r="I4" s="36" t="inlineStr">
        <is>
          <t>0.5 工作日</t>
        </is>
      </c>
      <c r="J4" s="36" t="inlineStr">
        <is>
          <t>★ 门禁</t>
        </is>
      </c>
      <c r="K4" s="36" t="inlineStr">
        <is>
          <t>主账号仅用于计费与 RAM 管理，禁止日常运维使用</t>
        </is>
      </c>
    </row>
    <row r="5" ht="14.25" customHeight="1" s="11">
      <c r="A5" s="38" t="inlineStr">
        <is>
          <t>2</t>
        </is>
      </c>
      <c r="B5" s="38" t="inlineStr">
        <is>
          <t>账号注册</t>
        </is>
      </c>
      <c r="C5" s="38" t="inlineStr">
        <is>
          <t>完成企业实名认证</t>
        </is>
      </c>
      <c r="D5" s="38" t="inlineStr">
        <is>
          <t>阿里云国际站 · 实名认证</t>
        </is>
      </c>
      <c r="E5" s="38" t="inlineStr">
        <is>
          <t>提交菲律宾主体注册文件（DTI/SEC）、法人身份证件、公司地址证明；名称须与银行账户一致</t>
        </is>
      </c>
      <c r="F5" s="38" t="inlineStr">
        <is>
          <t>1</t>
        </is>
      </c>
      <c r="G5" s="38" t="inlineStr">
        <is>
          <t>项目负责人</t>
        </is>
      </c>
      <c r="H5" s="38" t="inlineStr">
        <is>
          <t>T-5 前置</t>
        </is>
      </c>
      <c r="I5" s="38" t="inlineStr">
        <is>
          <t>1–2 工作日（等待）</t>
        </is>
      </c>
      <c r="J5" s="38" t="inlineStr">
        <is>
          <t>★ 门禁</t>
        </is>
      </c>
      <c r="K5" s="40" t="inlineStr">
        <is>
          <t>未实名无法购买 ECS/RDS；5 天工期最大外部风险，须 T-5 立即提交并每日跟进</t>
        </is>
      </c>
    </row>
    <row r="6" ht="14.25" customHeight="1" s="11">
      <c r="A6" s="36" t="inlineStr">
        <is>
          <t>3</t>
        </is>
      </c>
      <c r="B6" s="36" t="inlineStr">
        <is>
          <t>账号注册</t>
        </is>
      </c>
      <c r="C6" s="36" t="inlineStr">
        <is>
          <t>开通后付费并绑定支付方式</t>
        </is>
      </c>
      <c r="D6" s="36" t="inlineStr">
        <is>
          <t>费用中心 · 支付方式</t>
        </is>
      </c>
      <c r="E6" s="36" t="inlineStr">
        <is>
          <t>绑定 Visa/MasterCard 企业卡或对公转账；开启自动扣款与余额告警</t>
        </is>
      </c>
      <c r="F6" s="36" t="inlineStr">
        <is>
          <t>—</t>
        </is>
      </c>
      <c r="G6" s="36" t="inlineStr">
        <is>
          <t>财务</t>
        </is>
      </c>
      <c r="H6" s="36" t="inlineStr">
        <is>
          <t>T-5 前置</t>
        </is>
      </c>
      <c r="I6" s="36" t="inlineStr">
        <is>
          <t>0.5 工作日</t>
        </is>
      </c>
      <c r="J6" s="36" t="inlineStr">
        <is>
          <t>★ 门禁</t>
        </is>
      </c>
      <c r="K6" s="36" t="inlineStr">
        <is>
          <t>预留不低于 3 个月账单的信用额度，避免欠费停机</t>
        </is>
      </c>
    </row>
    <row r="7" ht="14.25" customHeight="1" s="11">
      <c r="A7" s="38" t="inlineStr">
        <is>
          <t>4</t>
        </is>
      </c>
      <c r="B7" s="38" t="inlineStr">
        <is>
          <t>账号安全</t>
        </is>
      </c>
      <c r="C7" s="38" t="inlineStr">
        <is>
          <t>主账号安全加固</t>
        </is>
      </c>
      <c r="D7" s="38" t="inlineStr">
        <is>
          <t>账号中心 · 安全设置</t>
        </is>
      </c>
      <c r="E7" s="38" t="inlineStr">
        <is>
          <t>开启 MFA、登录保护与异地登录告警；绑定安全邮箱与紧急联系人</t>
        </is>
      </c>
      <c r="F7" s="38" t="inlineStr">
        <is>
          <t>1</t>
        </is>
      </c>
      <c r="G7" s="38" t="inlineStr">
        <is>
          <t>安全负责人</t>
        </is>
      </c>
      <c r="H7" s="38" t="inlineStr">
        <is>
          <t>T-5 前置</t>
        </is>
      </c>
      <c r="I7" s="38" t="inlineStr">
        <is>
          <t>0.5 工作日</t>
        </is>
      </c>
      <c r="J7" s="38" t="inlineStr">
        <is>
          <t>—</t>
        </is>
      </c>
      <c r="K7" s="38" t="inlineStr">
        <is>
          <t>OWASP：主账号不做日常操作</t>
        </is>
      </c>
    </row>
    <row r="8" ht="14.25" customHeight="1" s="11">
      <c r="A8" s="36" t="inlineStr">
        <is>
          <t>5</t>
        </is>
      </c>
      <c r="B8" s="36" t="inlineStr">
        <is>
          <t>账号安全</t>
        </is>
      </c>
      <c r="C8" s="36" t="inlineStr">
        <is>
          <t>创建 RAM 用户与最小权限策略</t>
        </is>
      </c>
      <c r="D8" s="36" t="inlineStr">
        <is>
          <t>RAM 控制台</t>
        </is>
      </c>
      <c r="E8" s="36" t="inlineStr">
        <is>
          <t>4 个角色：admin、ops、cicd-push（仅 ACR 推送）、iac-terraform（IaC 最小权限）</t>
        </is>
      </c>
      <c r="F8" s="36" t="inlineStr">
        <is>
          <t>4</t>
        </is>
      </c>
      <c r="G8" s="36" t="inlineStr">
        <is>
          <t>安全负责人</t>
        </is>
      </c>
      <c r="H8" s="36" t="inlineStr">
        <is>
          <t>T-5 前置</t>
        </is>
      </c>
      <c r="I8" s="36" t="inlineStr">
        <is>
          <t>0.5 工作日</t>
        </is>
      </c>
      <c r="J8" s="36" t="inlineStr">
        <is>
          <t>★ 门禁</t>
        </is>
      </c>
      <c r="K8" s="36" t="inlineStr">
        <is>
          <t>同时开启 ActionTrail，记录全部云 API 变更并保留 180 天</t>
        </is>
      </c>
    </row>
    <row r="9" ht="14.25" customHeight="1" s="11">
      <c r="A9" s="38" t="inlineStr">
        <is>
          <t>6</t>
        </is>
      </c>
      <c r="B9" s="38" t="inlineStr">
        <is>
          <t>账号安全</t>
        </is>
      </c>
      <c r="C9" s="38" t="inlineStr">
        <is>
          <t>配置资源组与成本标签</t>
        </is>
      </c>
      <c r="D9" s="38" t="inlineStr">
        <is>
          <t>资源管理 / 费用中心</t>
        </is>
      </c>
      <c r="E9" s="38" t="inlineStr">
        <is>
          <t>资源组按 site=ph-mnl、site=sg 划分；成本标签：项目、环境、站点、成本中心</t>
        </is>
      </c>
      <c r="F9" s="38" t="inlineStr">
        <is>
          <t>5</t>
        </is>
      </c>
      <c r="G9" s="38" t="inlineStr">
        <is>
          <t>运维负责人</t>
        </is>
      </c>
      <c r="H9" s="38" t="inlineStr">
        <is>
          <t>T-5 前置</t>
        </is>
      </c>
      <c r="I9" s="38" t="inlineStr">
        <is>
          <t>0.5 工作日</t>
        </is>
      </c>
      <c r="J9" s="38" t="inlineStr">
        <is>
          <t>—</t>
        </is>
      </c>
      <c r="K9" s="38" t="inlineStr">
        <is>
          <t>用于分账、预算告警与成本核算</t>
        </is>
      </c>
    </row>
    <row r="10" ht="28.5" customHeight="1" s="11">
      <c r="A10" s="36" t="inlineStr">
        <is>
          <t>7</t>
        </is>
      </c>
      <c r="B10" s="36" t="inlineStr">
        <is>
          <t>配额申请</t>
        </is>
      </c>
      <c r="C10" s="36" t="inlineStr">
        <is>
          <t>提交资源配额（Quota）申请</t>
        </is>
      </c>
      <c r="D10" s="36" t="inlineStr">
        <is>
          <t>配额中心 / 工单</t>
        </is>
      </c>
      <c r="E10" s="36" t="inlineStr">
        <is>
          <t>ECS vCPU ≥ 64（马尼拉，实批 64）+ ≥ 64（新加坡，实批按量 96；备 region 接管上限 = 主站 maxReplicas 13 × 1.5 = 19.5 → 20 副本 → 40 vCPU，容量下限 8 节点 / 64 vCPU）；ALB 2；EIP ≥ 10；RDS PostgreSQL 高可用版（pg.n4.2c.2m = 2C/8G，实况）；RDS 内置托管 PgBouncer（实例上已启用，无需单独配额）；Tair 4GB 主备；ClickHouse **企业版单 AZ** 2 节点；OSS 2；GTM 1</t>
        </is>
      </c>
      <c r="F10" s="36" t="inlineStr">
        <is>
          <t>1</t>
        </is>
      </c>
      <c r="G10" s="36" t="inlineStr">
        <is>
          <t>运维负责人</t>
        </is>
      </c>
      <c r="H10" s="36" t="inlineStr">
        <is>
          <t>T-5 前置</t>
        </is>
      </c>
      <c r="I10" s="36" t="inlineStr">
        <is>
          <t>2–3 工作日（等待，关键路径）</t>
        </is>
      </c>
      <c r="J10" s="36" t="inlineStr">
        <is>
          <t>★ 门禁</t>
        </is>
      </c>
      <c r="K10" s="36" t="inlineStr">
        <is>
          <t>国际站默认配额常不足；工单需说明业务场景与峰值，分两批（先马尼拉后新加坡）申请。新加坡 ≥64 vCPU 的依据是「单站点全量接管 = 被接管站点 maxReplicas 13 × 1.5 = 19.5 → 20 副本」：20 × Pod request 2 vCPU = 40 vCPU，÷ (7.9 × 0.8 = 6.32) ≈ 6.3 → 7 节点，留余量取 8 节点 = 64 vCPU。**实批为按量口径 96 vCPU（q_ecs_enterprise_postpay_c，2026-10-06 裁定后为核量口径），节点池上限 12 ⇒ 顶满即零余量**。【分期口径】本期新加坡仅承载 PH 备、不含泰国备，因此不按「PH 备 + TH 备 同时接管」的 96 vCPU（含 ≥20% 系统组件余量即 ≥16 节点 / 128 vCPU）申请；二期引入 TH 备时须重新提工单</t>
        </is>
      </c>
    </row>
    <row r="11" ht="14.25" customHeight="1" s="11">
      <c r="A11" s="38" t="inlineStr">
        <is>
          <t>8</t>
        </is>
      </c>
      <c r="B11" s="38" t="inlineStr">
        <is>
          <t>产品开通</t>
        </is>
      </c>
      <c r="C11" s="38" t="inlineStr">
        <is>
          <t>开通网络与计算类产品</t>
        </is>
      </c>
      <c r="D11" s="38" t="inlineStr">
        <is>
          <t>产品控制台</t>
        </is>
      </c>
      <c r="E11" s="38" t="inlineStr">
        <is>
          <t>VPC、EIP、NAT 网关、ALB、ACK Pro 托管版（含节点池自动伸缩）、ACR 企业版</t>
        </is>
      </c>
      <c r="F11" s="38" t="inlineStr">
        <is>
          <t>1</t>
        </is>
      </c>
      <c r="G11" s="38" t="inlineStr">
        <is>
          <t>运维负责人</t>
        </is>
      </c>
      <c r="H11" s="38" t="inlineStr">
        <is>
          <t>T-5 前置</t>
        </is>
      </c>
      <c r="I11" s="38" t="inlineStr">
        <is>
          <t>0.5 工作日</t>
        </is>
      </c>
      <c r="J11" s="38" t="inlineStr">
        <is>
          <t>★ 门禁</t>
        </is>
      </c>
      <c r="K11" s="38" t="inlineStr">
        <is>
          <t>国际站需逐个产品单独开通</t>
        </is>
      </c>
    </row>
    <row r="12" ht="14.25" customHeight="1" s="11">
      <c r="A12" s="36" t="inlineStr">
        <is>
          <t>9</t>
        </is>
      </c>
      <c r="B12" s="36" t="inlineStr">
        <is>
          <t>产品开通</t>
        </is>
      </c>
      <c r="C12" s="36" t="inlineStr">
        <is>
          <t>开通数据与缓存类产品</t>
        </is>
      </c>
      <c r="D12" s="36" t="inlineStr">
        <is>
          <t>产品控制台</t>
        </is>
      </c>
      <c r="E12" s="36" t="inlineStr">
        <is>
          <t>RDS PostgreSQL 17（HighAvailability，pg.n4.2c.2m = 2C/8G，max_connections=800 用户不可改）、**RDS 内置托管 PgBouncer（PGBouncerEnabled=true，自建方案 F10 已撤销）**、Tair（Redis 兼容）、云数据库 ClickHouse **企业版（单可用区，马尼拉仅 ap-southeast-6a）**</t>
        </is>
      </c>
      <c r="F12" s="36" t="inlineStr">
        <is>
          <t>1</t>
        </is>
      </c>
      <c r="G12" s="36" t="inlineStr">
        <is>
          <t>运维负责人</t>
        </is>
      </c>
      <c r="H12" s="36" t="inlineStr">
        <is>
          <t>T-5 前置</t>
        </is>
      </c>
      <c r="I12" s="36" t="inlineStr">
        <is>
          <t>0.5 工作日</t>
        </is>
      </c>
      <c r="J12" s="36" t="inlineStr">
        <is>
          <t>★ 门禁</t>
        </is>
      </c>
      <c r="K12" s="36" t="inlineStr">
        <is>
          <t>ClickHouse 仅承载 LOG_SQL_DSN；企业版**只有按量付费**（Serverless 商品类型，不支持包年包月），等价降本手段 = 计算资源包（马尼拉抵扣因子 1.45）；马尼拉 CK 可用区只有 6a、存储只有 OSS</t>
        </is>
      </c>
    </row>
    <row r="13" ht="14.25" customHeight="1" s="11">
      <c r="A13" s="38" t="inlineStr">
        <is>
          <t>10</t>
        </is>
      </c>
      <c r="B13" s="38" t="inlineStr">
        <is>
          <t>产品开通</t>
        </is>
      </c>
      <c r="C13" s="38" t="inlineStr">
        <is>
          <t>开通接入与安全类产品</t>
        </is>
      </c>
      <c r="D13" s="38" t="inlineStr">
        <is>
          <t>产品控制台</t>
        </is>
      </c>
      <c r="E13" s="38" t="inlineStr">
        <is>
          <t>云解析 DNS（旗舰版）、GTM（旗舰版）、DCDN、WAF 3.0（⏸ 2026-10-12 裁定**本轮不采购**，暂缓非取消；账号无实例，指南 F15）、SSL 证书、堡垒机 / VPN（**KMS 凭据管家：2026-10-05 裁定不采购**）</t>
        </is>
      </c>
      <c r="F13" s="38" t="inlineStr">
        <is>
          <t>1</t>
        </is>
      </c>
      <c r="G13" s="38" t="inlineStr">
        <is>
          <t>运维负责人</t>
        </is>
      </c>
      <c r="H13" s="38" t="inlineStr">
        <is>
          <t>T-5 前置</t>
        </is>
      </c>
      <c r="I13" s="38" t="inlineStr">
        <is>
          <t>0.5 工作日</t>
        </is>
      </c>
      <c r="J13" s="38" t="inlineStr">
        <is>
          <t>★ 门禁</t>
        </is>
      </c>
      <c r="K13" s="38" t="inlineStr">
        <is>
          <t>⏸ 2026-10-12 裁定（指南 F15）：**本次部署不购买 WAF 3.0**（暂缓）——最低档高级版 3,880 元/月 ≈US$556 + 2,000 QPS + 日志服务单独起购，相对当前业务量过高；实例本就只能控制台订阅（waf-openapi 无 CreateInstance、无报价条目）。复评触发＝日请求量增长 / 出现真实攻击或 CC 事件；复评时选型结论仍按 2026-10-10 文档（高级版够用、基础版不可用、日志服务单独起购）。证书 G5 已于 2026-10-12 闭环签发</t>
        </is>
      </c>
    </row>
    <row r="14" ht="14.25" customHeight="1" s="11">
      <c r="A14" s="36" t="inlineStr">
        <is>
          <t>11</t>
        </is>
      </c>
      <c r="B14" s="36" t="inlineStr">
        <is>
          <t>产品开通</t>
        </is>
      </c>
      <c r="C14" s="36" t="inlineStr">
        <is>
          <t>开通可观测与审计类产品</t>
        </is>
      </c>
      <c r="D14" s="36" t="inlineStr">
        <is>
          <t>产品控制台</t>
        </is>
      </c>
      <c r="E14" s="36" t="inlineStr">
        <is>
          <t>SLS、ARMS（Prometheus 版 + 应用监控）、Grafana 服务 / 工作区、云监控站点监控、ActionTrail</t>
        </is>
      </c>
      <c r="F14" s="36" t="inlineStr">
        <is>
          <t>1</t>
        </is>
      </c>
      <c r="G14" s="36" t="inlineStr">
        <is>
          <t>运维负责人</t>
        </is>
      </c>
      <c r="H14" s="36" t="inlineStr">
        <is>
          <t>T-5 前置</t>
        </is>
      </c>
      <c r="I14" s="36" t="inlineStr">
        <is>
          <t>0.5 工作日</t>
        </is>
      </c>
      <c r="J14" s="36" t="inlineStr">
        <is>
          <t>—</t>
        </is>
      </c>
      <c r="K14" s="36" t="inlineStr">
        <is>
          <t>拨测点选马尼拉、曼谷、新加坡、东京、香港</t>
        </is>
      </c>
    </row>
    <row r="15" ht="14.25" customHeight="1" s="11">
      <c r="A15" s="38" t="inlineStr">
        <is>
          <t>12</t>
        </is>
      </c>
      <c r="B15" s="38" t="inlineStr">
        <is>
          <t>产品开通</t>
        </is>
      </c>
      <c r="C15" s="38" t="inlineStr">
        <is>
          <t>开通对象存储与镜像仓库</t>
        </is>
      </c>
      <c r="D15" s="38" t="inlineStr">
        <is>
          <t>产品控制台</t>
        </is>
      </c>
      <c r="E15" s="38" t="inlineStr">
        <is>
          <t>OSS（同城冗余 ZRS）、ACR 企业版（马尼拉 + 新加坡两个地域实例）</t>
        </is>
      </c>
      <c r="F15" s="38" t="inlineStr">
        <is>
          <t>1</t>
        </is>
      </c>
      <c r="G15" s="38" t="inlineStr">
        <is>
          <t>运维负责人</t>
        </is>
      </c>
      <c r="H15" s="38" t="inlineStr">
        <is>
          <t>T-5 前置</t>
        </is>
      </c>
      <c r="I15" s="38" t="inlineStr">
        <is>
          <t>0.5 工作日</t>
        </is>
      </c>
      <c r="J15" s="38" t="inlineStr">
        <is>
          <t>—</t>
        </is>
      </c>
      <c r="K15" s="38" t="inlineStr">
        <is>
          <t>两站点须能从各自 VPC 域名拉取镜像</t>
        </is>
      </c>
    </row>
    <row r="16" ht="14.25" customHeight="1" s="11">
      <c r="A16" s="36" t="inlineStr">
        <is>
          <t>13</t>
        </is>
      </c>
      <c r="B16" s="36" t="inlineStr">
        <is>
          <t>域名</t>
        </is>
      </c>
      <c r="C16" s="36" t="inlineStr">
        <is>
          <t>域名选型与注册</t>
        </is>
      </c>
      <c r="D16" s="36" t="inlineStr">
        <is>
          <t>阿里云国际站 · 域名</t>
        </is>
      </c>
      <c r="E16" s="36" t="inlineStr">
        <is>
          <t>注册/确认业务域名与运维域名（统一为 www.likha.hk / ops.likha.hk）；开启隐私保护与自动续费</t>
        </is>
      </c>
      <c r="F16" s="36" t="inlineStr">
        <is>
          <t>—</t>
        </is>
      </c>
      <c r="G16" s="36" t="inlineStr">
        <is>
          <t>项目负责人</t>
        </is>
      </c>
      <c r="H16" s="36" t="inlineStr">
        <is>
          <t>T-5 前置</t>
        </is>
      </c>
      <c r="I16" s="36" t="inlineStr">
        <is>
          <t>0.5 工作日</t>
        </is>
      </c>
      <c r="J16" s="36" t="inlineStr">
        <is>
          <t>★ 门禁</t>
        </is>
      </c>
      <c r="K16" s="36" t="inlineStr">
        <is>
          <t>若使用既有域名可跳过注册，仅需完成实名与 NS 托管</t>
        </is>
      </c>
    </row>
    <row r="17" ht="14.25" customHeight="1" s="11">
      <c r="A17" s="38" t="inlineStr">
        <is>
          <t>14</t>
        </is>
      </c>
      <c r="B17" s="38" t="inlineStr">
        <is>
          <t>域名</t>
        </is>
      </c>
      <c r="C17" s="38" t="inlineStr">
        <is>
          <t>域名实名认证</t>
        </is>
      </c>
      <c r="D17" s="38" t="inlineStr">
        <is>
          <t>域名控制台</t>
        </is>
      </c>
      <c r="E17" s="38" t="inlineStr">
        <is>
          <t>按注册局要求提交主体信息；未实名域名会被停止解析</t>
        </is>
      </c>
      <c r="F17" s="38" t="inlineStr">
        <is>
          <t>13</t>
        </is>
      </c>
      <c r="G17" s="38" t="inlineStr">
        <is>
          <t>项目负责人</t>
        </is>
      </c>
      <c r="H17" s="38" t="inlineStr">
        <is>
          <t>T-5 前置</t>
        </is>
      </c>
      <c r="I17" s="38" t="inlineStr">
        <is>
          <t>1–2 工作日（等待）</t>
        </is>
      </c>
      <c r="J17" s="38" t="inlineStr">
        <is>
          <t>★ 门禁</t>
        </is>
      </c>
      <c r="K17" s="38" t="inlineStr">
        <is>
          <t>主体须与阿里云账号实名主体一致</t>
        </is>
      </c>
    </row>
    <row r="18" ht="14.25" customHeight="1" s="11">
      <c r="A18" s="36" t="inlineStr">
        <is>
          <t>15</t>
        </is>
      </c>
      <c r="B18" s="36" t="inlineStr">
        <is>
          <t>域名</t>
        </is>
      </c>
      <c r="C18" s="36" t="inlineStr">
        <is>
          <t>修改 NS 为阿里云云解析并验证生效</t>
        </is>
      </c>
      <c r="D18" s="36" t="inlineStr">
        <is>
          <t>域名注册商 / 云解析 DNS</t>
        </is>
      </c>
      <c r="E18" s="36" t="inlineStr">
        <is>
          <t>将 NS 指向阿里云国际站 DNS 服务器，并用 dig 验证权威解析生效</t>
        </is>
      </c>
      <c r="F18" s="36" t="inlineStr">
        <is>
          <t>13,14</t>
        </is>
      </c>
      <c r="G18" s="36" t="inlineStr">
        <is>
          <t>运维负责人</t>
        </is>
      </c>
      <c r="H18" s="36" t="inlineStr">
        <is>
          <t>T-5 前置</t>
        </is>
      </c>
      <c r="I18" s="36" t="inlineStr">
        <is>
          <t>生效 24–48h（等待）</t>
        </is>
      </c>
      <c r="J18" s="36" t="inlineStr">
        <is>
          <t>★ 门禁</t>
        </is>
      </c>
      <c r="K18" s="36" t="inlineStr">
        <is>
          <t>5 天工期下必须在 T-5 发起，否则 D1 接入层无法验证</t>
        </is>
      </c>
    </row>
    <row r="19" ht="28.5" customHeight="1" s="11">
      <c r="A19" s="38" t="inlineStr">
        <is>
          <t>16</t>
        </is>
      </c>
      <c r="B19" s="38" t="inlineStr">
        <is>
          <t>域名</t>
        </is>
      </c>
      <c r="C19" s="38" t="inlineStr">
        <is>
          <t>创建解析记录并接入 GTM</t>
        </is>
      </c>
      <c r="D19" s="38" t="inlineStr">
        <is>
          <t>GTM 控制台</t>
        </is>
      </c>
      <c r="E19" s="38" t="inlineStr">
        <is>
          <t>主地址池 = 马尼拉 ALB；备地址池 = 新加坡 ALB；HTTP 探测 /api/status，间隔 15s，切换 ≤ 60s（G8 落地后随健康检查一并以 /readyz 取代；15 s 间隔本身不撞额度，但与 ALB 探测共用同一客户端 IP 键时须合并计预算）</t>
        </is>
      </c>
      <c r="F19" s="38" t="inlineStr">
        <is>
          <t>15</t>
        </is>
      </c>
      <c r="G19" s="38" t="inlineStr">
        <is>
          <t>运维负责人</t>
        </is>
      </c>
      <c r="H19" s="38" t="inlineStr">
        <is>
          <t>D3 晚间</t>
        </is>
      </c>
      <c r="I19" s="38" t="inlineStr">
        <is>
          <t>见落地计划 #21（D3 晚间段 S9）</t>
        </is>
      </c>
      <c r="J19" s="38" t="inlineStr">
        <is>
          <t>—</t>
        </is>
      </c>
      <c r="K19" s="38" t="inlineStr">
        <is>
          <t>备 region 未验证通过前不得加入备地址池</t>
        </is>
      </c>
    </row>
    <row r="20" ht="14.25" customHeight="1" s="11">
      <c r="A20" s="36" t="inlineStr">
        <is>
          <t>17</t>
        </is>
      </c>
      <c r="B20" s="36" t="inlineStr">
        <is>
          <t>证书</t>
        </is>
      </c>
      <c r="C20" s="36" t="inlineStr">
        <is>
          <t>申请 SSL/TLS 通配符证书</t>
        </is>
      </c>
      <c r="D20" s="36" t="inlineStr">
        <is>
          <t>数字证书管理服务</t>
        </is>
      </c>
      <c r="E20" s="36" t="inlineStr">
        <is>
          <t>申请 *.likha.hk（与「说明与总览」业务域名一致；原示例 *.example-ph.com 不覆盖 www.likha.hk，已统一）；要求 TLS 1.2 + 1.3</t>
        </is>
      </c>
      <c r="F20" s="36" t="inlineStr">
        <is>
          <t>15</t>
        </is>
      </c>
      <c r="G20" s="36" t="inlineStr">
        <is>
          <t>运维负责人</t>
        </is>
      </c>
      <c r="H20" s="36" t="inlineStr">
        <is>
          <t>T-5 前置</t>
        </is>
      </c>
      <c r="I20" s="36" t="inlineStr">
        <is>
          <t>签发 1–24h（等待）</t>
        </is>
      </c>
      <c r="J20" s="36" t="inlineStr">
        <is>
          <t>★ 门禁</t>
        </is>
      </c>
      <c r="K20" s="36" t="inlineStr">
        <is>
          <t>私钥**不落 KMS**（2026-10-05 裁定不使用 KMS/凭据管家）：证书私钥由运维手工保管；⚠ 2026-10-12 实况：单张有效期仅 198 天（→ 2027-04-28，CA/B 新规）；AutoReissue=enable（2026-10-12 经授权开启并双路回读）⇒ 实例级托管续签已开，但 ALB 无 CAS 部署联动（实测 ListDeploymentJob、ListCloudResources(alb) 全空）⇒ 新证书仍须人工换绑两地 HTTPS 监听（2027-03-29 前，动作见 deploy/cert/targets.yaml R1–R4）；30 天到期告警已在控制台配置（2026-10-12 负责人自配；⚠ CAS 无提醒类 API，故该项无回读证据、配置页截图待补）</t>
        </is>
      </c>
    </row>
    <row r="21" ht="14.25" customHeight="1" s="11">
      <c r="A21" s="38" t="inlineStr">
        <is>
          <t>18</t>
        </is>
      </c>
      <c r="B21" s="38" t="inlineStr">
        <is>
          <t>证书</t>
        </is>
      </c>
      <c r="C21" s="38" t="inlineStr">
        <is>
          <t>证书部署到 ALB / WAF / DCDN</t>
        </is>
      </c>
      <c r="D21" s="38" t="inlineStr">
        <is>
          <t>控制台</t>
        </is>
      </c>
      <c r="E21" s="38" t="inlineStr">
        <is>
          <t>分别部署至马尼拉 ALB、新加坡 ALB（✅ 两地 443 监听已于 2026-10-12 落地并验收，CertIdentifier=606823-ap-southeast-1）、WAF、DCDN 域名（⏸ 2026-10-12 F15：WAF 本轮不采购、DCDN 未开通 ⇒ 本行部署对象只剩两地 ALB）</t>
        </is>
      </c>
      <c r="F21" s="38" t="inlineStr">
        <is>
          <t>17</t>
        </is>
      </c>
      <c r="G21" s="38" t="inlineStr">
        <is>
          <t>运维负责人</t>
        </is>
      </c>
      <c r="H21" s="38" t="inlineStr">
        <is>
          <t>D5 下午（S14，ALB / WAF 已创建）</t>
        </is>
      </c>
      <c r="I21" s="38" t="inlineStr">
        <is>
          <t>见落地计划 #40</t>
        </is>
      </c>
      <c r="J21" s="38" t="inlineStr">
        <is>
          <t>—</t>
        </is>
      </c>
      <c r="K21" s="38" t="inlineStr">
        <is>
          <t>⚠ 2026-10-12 更正：AutoReissue=enable（2026-10-12 经授权开启，GetInstanceDetail/ListInstances 双路回读）⇒ 实例级托管续签已开，但 ALB 监听直接引用 CertIdentifier 绑定、无 CAS 部署联动 ⇒ 新证书签发后仍须人工换绑并回归验证（到期 2027-04-28，换绑动作 2027-03-29 前）</t>
        </is>
      </c>
    </row>
    <row r="22" ht="14.25" customHeight="1" s="11">
      <c r="A22" s="36" t="inlineStr">
        <is>
          <t>19</t>
        </is>
      </c>
      <c r="B22" s="36" t="inlineStr">
        <is>
          <t>通知</t>
        </is>
      </c>
      <c r="C22" s="36" t="inlineStr">
        <is>
          <t>配置告警通道与联系人</t>
        </is>
      </c>
      <c r="D22" s="36" t="inlineStr">
        <is>
          <t>云监控 / ARMS</t>
        </is>
      </c>
      <c r="E22" s="36" t="inlineStr">
        <is>
          <t>钉钉或企业微信机器人 + 短信 + 电话；P1 走电话并建立值班表</t>
        </is>
      </c>
      <c r="F22" s="36" t="inlineStr">
        <is>
          <t>11</t>
        </is>
      </c>
      <c r="G22" s="36" t="inlineStr">
        <is>
          <t>运维负责人</t>
        </is>
      </c>
      <c r="H22" s="36" t="inlineStr">
        <is>
          <t>D5 下午（S14）</t>
        </is>
      </c>
      <c r="I22" s="36" t="inlineStr">
        <is>
          <t>见落地计划 #32</t>
        </is>
      </c>
      <c r="J22" s="36" t="inlineStr">
        <is>
          <t>—</t>
        </is>
      </c>
      <c r="K22" s="36" t="inlineStr">
        <is>
          <t>告警联系人须包含 2 名执行人与项目负责人</t>
        </is>
      </c>
    </row>
    <row r="24" ht="48" customHeight="1" s="11">
      <c r="C24" s="25" t="inlineStr">
        <is>
          <t>★ 门禁项共 12 项（J 列标 ★ 的行），
全部为前期等待型前置：其中 #1/#2/#3/#5/#7–#10/#13–#15/#17 为 T-5 前置，#7 的新加坡配额补充与代码侧补建（G8）为 T-3 前置。
★ 项与门禁清单 G1–G13 的一一映射见「落地计划」门禁清单「门禁作用」列。G0 门禁未通过则 D1 不得启动。</t>
        </is>
      </c>
    </row>
  </sheetData>
  <autoFilter ref="A3:K22"/>
  <mergeCells count="2">
    <mergeCell ref="C24:K24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2" ySplit="3" topLeftCell="C13" activePane="bottomRight" state="frozen"/>
      <selection activeCell="A1" sqref="A1"/>
      <selection pane="topRight" activeCell="A1" sqref="A1"/>
      <selection pane="bottomLeft" activeCell="A1" sqref="A1"/>
      <selection pane="bottomRight" activeCell="A1" sqref="A1:M1"/>
    </sheetView>
  </sheetViews>
  <sheetFormatPr baseColWidth="8" defaultColWidth="9" defaultRowHeight="13.5"/>
  <cols>
    <col width="3.625" customWidth="1" style="33" min="1" max="1"/>
    <col width="6.625" customWidth="1" style="11" min="2" max="2"/>
    <col width="22.25" customWidth="1" style="11" min="3" max="3"/>
    <col width="24" customWidth="1" style="11" min="4" max="4"/>
    <col width="3.625" customWidth="1" style="11" min="5" max="5"/>
    <col width="27.875" customWidth="1" style="11" min="6" max="6"/>
    <col width="18.5" customWidth="1" style="11" min="7" max="7"/>
    <col width="57.875" customWidth="1" style="11" min="8" max="8"/>
    <col width="7.625" customWidth="1" style="11" min="9" max="9"/>
    <col width="8.125" customWidth="1" style="11" min="10" max="10"/>
    <col width="5.125" customWidth="1" style="11" min="11" max="11"/>
    <col width="4.625" customWidth="1" style="11" min="12" max="12"/>
    <col width="39.875" customWidth="1" style="11" min="13" max="13"/>
  </cols>
  <sheetData>
    <row r="1" ht="21" customHeight="1" s="11">
      <c r="A1" s="34" t="inlineStr">
        <is>
          <t>菲律宾主站点资源清单 · ap-southeast-6（马尼拉）</t>
        </is>
      </c>
    </row>
    <row r="3" ht="14.25" customHeight="1" s="11">
      <c r="A3" s="30" t="inlineStr">
        <is>
          <t>序号</t>
        </is>
      </c>
      <c r="B3" s="35" t="inlineStr">
        <is>
          <t>层</t>
        </is>
      </c>
      <c r="C3" s="35" t="inlineStr">
        <is>
          <t>资源 / 产品</t>
        </is>
      </c>
      <c r="D3" s="35" t="inlineStr">
        <is>
          <t>规格与版本</t>
        </is>
      </c>
      <c r="E3" s="35" t="inlineStr">
        <is>
          <t>数量</t>
        </is>
      </c>
      <c r="F3" s="35" t="inlineStr">
        <is>
          <t>命名规范</t>
        </is>
      </c>
      <c r="G3" s="35" t="inlineStr">
        <is>
          <t>地域 / 可用区</t>
        </is>
      </c>
      <c r="H3" s="35" t="inlineStr">
        <is>
          <t>关键配置</t>
        </is>
      </c>
      <c r="I3" s="35" t="inlineStr">
        <is>
          <t>前置依赖</t>
        </is>
      </c>
      <c r="J3" s="35" t="inlineStr">
        <is>
          <t>申请方式</t>
        </is>
      </c>
      <c r="K3" s="35" t="inlineStr">
        <is>
          <t>落地日</t>
        </is>
      </c>
      <c r="L3" s="35" t="inlineStr">
        <is>
          <t>负责</t>
        </is>
      </c>
      <c r="M3" s="35" t="inlineStr">
        <is>
          <t>备注</t>
        </is>
      </c>
    </row>
    <row r="4" ht="14.25" customHeight="1" s="11">
      <c r="A4" s="16" t="inlineStr">
        <is>
          <t>1</t>
        </is>
      </c>
      <c r="B4" s="36" t="inlineStr">
        <is>
          <t>网络</t>
        </is>
      </c>
      <c r="C4" s="36" t="inlineStr">
        <is>
          <t>VPC</t>
        </is>
      </c>
      <c r="D4" s="36" t="inlineStr">
        <is>
          <t>10.0.0.0/16</t>
        </is>
      </c>
      <c r="E4" s="36" t="n">
        <v>1</v>
      </c>
      <c r="F4" s="36" t="inlineStr">
        <is>
          <t>vpc-newapi-mnl-prod</t>
        </is>
      </c>
      <c r="G4" s="36" t="inlineStr">
        <is>
          <t>ap-southeast-6</t>
        </is>
      </c>
      <c r="H4" s="36" t="inlineStr">
        <is>
          <t>单 VPC；开启 DNS 主机名解析；VPC 流日志投递 SLS</t>
        </is>
      </c>
      <c r="I4" s="36" t="inlineStr">
        <is>
          <t>—</t>
        </is>
      </c>
      <c r="J4" s="36" t="inlineStr">
        <is>
          <t>控制台/IaC</t>
        </is>
      </c>
      <c r="K4" s="36" t="inlineStr">
        <is>
          <t>D1</t>
        </is>
      </c>
      <c r="L4" s="36" t="inlineStr">
        <is>
          <t>人员A</t>
        </is>
      </c>
      <c r="M4" s="36" t="inlineStr">
        <is>
          <t>与新加坡网段不重叠</t>
        </is>
      </c>
    </row>
    <row r="5" ht="14.25" customHeight="1" s="11">
      <c r="A5" s="37" t="inlineStr">
        <is>
          <t>2</t>
        </is>
      </c>
      <c r="B5" s="38" t="inlineStr">
        <is>
          <t>网络</t>
        </is>
      </c>
      <c r="C5" s="38" t="inlineStr">
        <is>
          <t>vSwitch（公共）</t>
        </is>
      </c>
      <c r="D5" s="38" t="inlineStr">
        <is>
          <t>2 × /24</t>
        </is>
      </c>
      <c r="E5" s="38" t="n">
        <v>2</v>
      </c>
      <c r="F5" s="38" t="inlineStr">
        <is>
          <t>vsw-mnl-pub-a / vsw-mnl-pub-b</t>
        </is>
      </c>
      <c r="G5" s="38" t="inlineStr">
        <is>
          <t>可用区 A / B</t>
        </is>
      </c>
      <c r="H5" s="38" t="inlineStr">
        <is>
          <t>ALB 与 NAT 网关使用</t>
        </is>
      </c>
      <c r="I5" s="38" t="inlineStr">
        <is>
          <t>1</t>
        </is>
      </c>
      <c r="J5" s="38" t="inlineStr">
        <is>
          <t>控制台/IaC</t>
        </is>
      </c>
      <c r="K5" s="38" t="inlineStr">
        <is>
          <t>D1</t>
        </is>
      </c>
      <c r="L5" s="38" t="inlineStr">
        <is>
          <t>人员A</t>
        </is>
      </c>
      <c r="M5" s="38" t="inlineStr">
        <is>
          <t>多可用区是高可用前提</t>
        </is>
      </c>
    </row>
    <row r="6" ht="14.25" customHeight="1" s="11">
      <c r="A6" s="16" t="inlineStr">
        <is>
          <t>3</t>
        </is>
      </c>
      <c r="B6" s="36" t="inlineStr">
        <is>
          <t>网络</t>
        </is>
      </c>
      <c r="C6" s="36" t="inlineStr">
        <is>
          <t>vSwitch（私有）</t>
        </is>
      </c>
      <c r="D6" s="36" t="inlineStr">
        <is>
          <t>4 × /20</t>
        </is>
      </c>
      <c r="E6" s="36" t="n">
        <v>4</v>
      </c>
      <c r="F6" s="36" t="inlineStr">
        <is>
          <t>vsw-mnl-app-a/b、vsw-mnl-data-a/b</t>
        </is>
      </c>
      <c r="G6" s="36" t="inlineStr">
        <is>
          <t>跨 2 个可用区</t>
        </is>
      </c>
      <c r="H6" s="36" t="inlineStr">
        <is>
          <t>Pod 使用 app 网段，RDS 使用 data 网段</t>
        </is>
      </c>
      <c r="I6" s="36" t="inlineStr">
        <is>
          <t>1</t>
        </is>
      </c>
      <c r="J6" s="36" t="inlineStr">
        <is>
          <t>控制台/IaC</t>
        </is>
      </c>
      <c r="K6" s="36" t="inlineStr">
        <is>
          <t>D1</t>
        </is>
      </c>
      <c r="L6" s="36" t="inlineStr">
        <is>
          <t>人员A</t>
        </is>
      </c>
      <c r="M6" s="36" t="inlineStr">
        <is>
          <t>Pod 与数据库分网段便于隔离</t>
        </is>
      </c>
    </row>
    <row r="7" ht="14.25" customHeight="1" s="11">
      <c r="A7" s="37" t="inlineStr">
        <is>
          <t>4</t>
        </is>
      </c>
      <c r="B7" s="38" t="inlineStr">
        <is>
          <t>网络</t>
        </is>
      </c>
      <c r="C7" s="38" t="inlineStr">
        <is>
          <t>NAT 网关</t>
        </is>
      </c>
      <c r="D7" s="38" t="inlineStr">
        <is>
          <t>多可用区</t>
        </is>
      </c>
      <c r="E7" s="38" t="n">
        <v>1</v>
      </c>
      <c r="F7" s="38" t="inlineStr">
        <is>
          <t>nat-mnl-prod</t>
        </is>
      </c>
      <c r="G7" s="38" t="inlineStr">
        <is>
          <t>跨 2 个可用区</t>
        </is>
      </c>
      <c r="H7" s="38" t="inlineStr">
        <is>
          <t>绑定固定 EIP 池；仅私有子网可出网</t>
        </is>
      </c>
      <c r="I7" s="38" t="inlineStr">
        <is>
          <t>1</t>
        </is>
      </c>
      <c r="J7" s="38" t="inlineStr">
        <is>
          <t>控制台/IaC</t>
        </is>
      </c>
      <c r="K7" s="38" t="inlineStr">
        <is>
          <t>D1</t>
        </is>
      </c>
      <c r="L7" s="38" t="inlineStr">
        <is>
          <t>人员A</t>
        </is>
      </c>
      <c r="M7" s="38" t="inlineStr">
        <is>
          <t>供应商 IP 白名单依赖固定 EIP</t>
        </is>
      </c>
    </row>
    <row r="8" ht="28.5" customHeight="1" s="11">
      <c r="A8" s="16" t="inlineStr">
        <is>
          <t>5</t>
        </is>
      </c>
      <c r="B8" s="36" t="inlineStr">
        <is>
          <t>网络</t>
        </is>
      </c>
      <c r="C8" s="36" t="inlineStr">
        <is>
          <t>EIP（上游出口白名单池）</t>
        </is>
      </c>
      <c r="D8" s="36" t="inlineStr">
        <is>
          <t>≥ 4 个</t>
        </is>
      </c>
      <c r="E8" s="36" t="n">
        <v>4</v>
      </c>
      <c r="F8" s="36" t="inlineStr">
        <is>
          <t>eip-mnl-upstream-01..04</t>
        </is>
      </c>
      <c r="G8" s="36" t="inlineStr">
        <is>
          <t>多可用区</t>
        </is>
      </c>
      <c r="H8" s="36" t="inlineStr">
        <is>
          <t>绑定 NAT 网关；用于供应商白名单（本次出口直出、不启用 GA）</t>
        </is>
      </c>
      <c r="I8" s="36" t="inlineStr">
        <is>
          <t>4</t>
        </is>
      </c>
      <c r="J8" s="36" t="inlineStr">
        <is>
          <t>控制台/IaC</t>
        </is>
      </c>
      <c r="K8" s="36" t="inlineStr">
        <is>
          <t>D1</t>
        </is>
      </c>
      <c r="L8" s="36" t="inlineStr">
        <is>
          <t>人员A</t>
        </is>
      </c>
      <c r="M8" s="36" t="inlineStr">
        <is>
          <t>同一池也是备 region 访问 RDS 的白名单来源；8 个 EIP 均须提交上游并确认生效</t>
        </is>
      </c>
    </row>
    <row r="9" ht="28.5" customHeight="1" s="11">
      <c r="A9" s="37" t="inlineStr">
        <is>
          <t>6</t>
        </is>
      </c>
      <c r="B9" s="38" t="inlineStr">
        <is>
          <t>接入</t>
        </is>
      </c>
      <c r="C9" s="38" t="inlineStr">
        <is>
          <t>ALB</t>
        </is>
      </c>
      <c r="D9" s="38" t="inlineStr">
        <is>
          <t>标准版 II</t>
        </is>
      </c>
      <c r="E9" s="38" t="n">
        <v>1</v>
      </c>
      <c r="F9" s="38" t="inlineStr">
        <is>
          <t>alb-newapi-mnl</t>
        </is>
      </c>
      <c r="G9" s="38" t="inlineStr">
        <is>
          <t>跨 2 个可用区</t>
        </is>
      </c>
      <c r="H9" s="38" t="inlineStr">
        <is>
          <t>实况（2026-10-12）：HTTP:80 + HTTPS:443 两监听（443 = lsn-hjl2cz2g9oqvee4eix，证书 606823-ap-southeast-1，tls_cipher_policy_1_2_strict_with_1_3）+ Ingress/new-api-http-redirect（order=1）做 HTTP→HTTPS 301；idleTimeout=60s；requestTimeout=600s（原口径 180s；600 为 ALB 硬上限）；TLS 1.2+1.3；健康检查 GET /api/status @20s（原 6s，2026-10-06 改）**与全局限流 360/180s per client IP 冲突 ⇒ 必须改 /readyz 并免限流（G8）**</t>
        </is>
      </c>
      <c r="I9" s="38" t="inlineStr">
        <is>
          <t>2,17(前置)</t>
        </is>
      </c>
      <c r="J9" s="38" t="inlineStr">
        <is>
          <t>控制台/IaC</t>
        </is>
      </c>
      <c r="K9" s="38" t="inlineStr">
        <is>
          <t>D2</t>
        </is>
      </c>
      <c r="L9" s="38" t="inlineStr">
        <is>
          <t>人员A</t>
        </is>
      </c>
      <c r="M9" s="38" t="inlineStr">
        <is>
          <t>SSE 靠网关 ping（15–20s）保活</t>
        </is>
      </c>
    </row>
    <row r="10" ht="28.5" customHeight="1" s="11">
      <c r="A10" s="16" t="inlineStr">
        <is>
          <t>7</t>
        </is>
      </c>
      <c r="B10" s="36" t="inlineStr">
        <is>
          <t>接入</t>
        </is>
      </c>
      <c r="C10" s="36" t="inlineStr">
        <is>
          <t>WAF 3.0</t>
        </is>
      </c>
      <c r="D10" s="36" t="inlineStr">
        <is>
          <t>⏸ 2026-10-12 裁定（F15）：本轮**不采购**（暂缓，非取消）；依据＝指南 §0.5 F15（2026-10-12 裁定）。复评条件＝业务量增长 / 真实攻击或 CC 事件</t>
        </is>
      </c>
      <c r="E10" s="36" t="n">
        <v>1</v>
      </c>
      <c r="F10" s="36" t="inlineStr">
        <is>
          <t>waf-newapi-mnl</t>
        </is>
      </c>
      <c r="G10" s="36" t="inlineStr">
        <is>
          <t>马尼拉</t>
        </is>
      </c>
      <c r="H10" s="36" t="inlineStr">
        <is>
          <t>接入 www.likha.hk；CC 阈值对齐 GLOBAL_API_RATE_LIMIT；放行支付回调路径并限定回调源 IP 段 —— ⚠ 2026-10-10 复核：账号无 WAF 实例、任务 20 五步 0 完成；ALB 云原生接入实为 SDK 集成（非透明代理），443 不是前置、且不占「可接入域名数」；选型与判据更正见 deploy/docs/WAF接入_CC攻击分类与计费选型_2026-10-10.md；⚠ 2026-10-12（F15）：本行**整体不执行**——本轮不采购 WAF ⇒ CC 频控只剩应用侧 GLOBAL_API_RATE_LIMIT 360/180s（它只按客户端 IP 计数，正是任务 53 的 429 源头）、回调豁免与 waf-log 投递同时取消，入口层证据链改由 alb-access SLS（sls-newapi-mnl/alb_access）承担</t>
        </is>
      </c>
      <c r="I10" s="36" t="inlineStr">
        <is>
          <t>6</t>
        </is>
      </c>
      <c r="J10" s="36" t="inlineStr">
        <is>
          <t>控制台</t>
        </is>
      </c>
      <c r="K10" s="36" t="inlineStr">
        <is>
          <t>D4</t>
        </is>
      </c>
      <c r="L10" s="36" t="inlineStr">
        <is>
          <t>人员A</t>
        </is>
      </c>
      <c r="M10" s="36" t="inlineStr">
        <is>
          <t>抗 L7</t>
        </is>
      </c>
    </row>
    <row r="11" ht="14.25" customHeight="1" s="11">
      <c r="A11" s="37" t="inlineStr">
        <is>
          <t>8</t>
        </is>
      </c>
      <c r="B11" s="38" t="inlineStr">
        <is>
          <t>接入</t>
        </is>
      </c>
      <c r="C11" s="38" t="inlineStr">
        <is>
          <t>云解析 DNS</t>
        </is>
      </c>
      <c r="D11" s="38" t="inlineStr">
        <is>
          <t>旗舰版</t>
        </is>
      </c>
      <c r="E11" s="38" t="n">
        <v>1</v>
      </c>
      <c r="F11" s="38" t="inlineStr">
        <is>
          <t>—</t>
        </is>
      </c>
      <c r="G11" s="38" t="inlineStr">
        <is>
          <t>全球</t>
        </is>
      </c>
      <c r="H11" s="38" t="inlineStr">
        <is>
          <t>承载主域名与子域名解析</t>
        </is>
      </c>
      <c r="I11" s="38" t="inlineStr">
        <is>
          <t>15(前置)</t>
        </is>
      </c>
      <c r="J11" s="38" t="inlineStr">
        <is>
          <t>控制台</t>
        </is>
      </c>
      <c r="K11" s="38" t="inlineStr">
        <is>
          <t>D1</t>
        </is>
      </c>
      <c r="L11" s="38" t="inlineStr">
        <is>
          <t>人员A</t>
        </is>
      </c>
      <c r="M11" s="38" t="inlineStr">
        <is>
          <t>与 GTM 配合完成按延迟解析</t>
        </is>
      </c>
    </row>
    <row r="12" ht="14.25" customHeight="1" s="11">
      <c r="A12" s="16" t="inlineStr">
        <is>
          <t>9</t>
        </is>
      </c>
      <c r="B12" s="36" t="inlineStr">
        <is>
          <t>接入</t>
        </is>
      </c>
      <c r="C12" s="36" t="inlineStr">
        <is>
          <t>全局流量管理 GTM</t>
        </is>
      </c>
      <c r="D12" s="36" t="inlineStr">
        <is>
          <t>旗舰版</t>
        </is>
      </c>
      <c r="E12" s="36" t="n">
        <v>1</v>
      </c>
      <c r="F12" s="36" t="inlineStr">
        <is>
          <t>gtm-newapi-ph</t>
        </is>
      </c>
      <c r="G12" s="36" t="inlineStr">
        <is>
          <t>全球</t>
        </is>
      </c>
      <c r="H12" s="36" t="inlineStr">
        <is>
          <t>探测 GET /api/status 每 15s；故障切换目标 ≤ 60s（G8 落地后随健康检查一并改 /readyz；15 s 间隔本身不撞额度，但与 ALB 探测共用同一客户端 IP 键时须合并计预算）</t>
        </is>
      </c>
      <c r="I12" s="36" t="inlineStr">
        <is>
          <t>6,17(前置)</t>
        </is>
      </c>
      <c r="J12" s="36" t="inlineStr">
        <is>
          <t>控制台</t>
        </is>
      </c>
      <c r="K12" s="36" t="inlineStr">
        <is>
          <t>D3</t>
        </is>
      </c>
      <c r="L12" s="36" t="inlineStr">
        <is>
          <t>人员A</t>
        </is>
      </c>
      <c r="M12" s="36" t="inlineStr">
        <is>
          <t>故障切换目标 ≤ 60s</t>
        </is>
      </c>
    </row>
    <row r="13" ht="14.25" customHeight="1" s="11">
      <c r="A13" s="37" t="inlineStr">
        <is>
          <t>10</t>
        </is>
      </c>
      <c r="B13" s="38" t="inlineStr">
        <is>
          <t>接入</t>
        </is>
      </c>
      <c r="C13" s="38" t="inlineStr">
        <is>
          <t>DCDN</t>
        </is>
      </c>
      <c r="D13" s="38" t="inlineStr">
        <is>
          <t>按量付费</t>
        </is>
      </c>
      <c r="E13" s="38" t="n">
        <v>1</v>
      </c>
      <c r="F13" s="38" t="inlineStr">
        <is>
          <t>dcdn-newapi-ph</t>
        </is>
      </c>
      <c r="G13" s="38" t="inlineStr">
        <is>
          <t>全球</t>
        </is>
      </c>
      <c r="H13" s="38" t="inlineStr">
        <is>
          <t>静态资源加速；index.html no-cache；带指纹 chunk 缓存 7 天</t>
        </is>
      </c>
      <c r="I13" s="38" t="inlineStr">
        <is>
          <t>17(前置)</t>
        </is>
      </c>
      <c r="J13" s="38" t="inlineStr">
        <is>
          <t>控制台</t>
        </is>
      </c>
      <c r="K13" s="38" t="inlineStr">
        <is>
          <t>D2</t>
        </is>
      </c>
      <c r="L13" s="38" t="inlineStr">
        <is>
          <t>人员A</t>
        </is>
      </c>
      <c r="M13" s="38" t="inlineStr">
        <is>
          <t>可按裁剪预案延后</t>
        </is>
      </c>
    </row>
    <row r="14" ht="14.25" customHeight="1" s="11">
      <c r="A14" s="16" t="inlineStr">
        <is>
          <t>11</t>
        </is>
      </c>
      <c r="B14" s="36" t="inlineStr">
        <is>
          <t>计算</t>
        </is>
      </c>
      <c r="C14" s="36" t="inlineStr">
        <is>
          <t>ACK Pro 托管版</t>
        </is>
      </c>
      <c r="D14" s="36" t="inlineStr">
        <is>
          <t>控制面 SLA 99.95%</t>
        </is>
      </c>
      <c r="E14" s="36" t="n">
        <v>1</v>
      </c>
      <c r="F14" s="36" t="inlineStr">
        <is>
          <t>ack-newapi-mnl</t>
        </is>
      </c>
      <c r="G14" s="36" t="inlineStr">
        <is>
          <t>多可用区</t>
        </is>
      </c>
      <c r="H14" s="36" t="inlineStr">
        <is>
          <t>Kubernetes 1.31+；CNI Terway；开启 RRSA</t>
        </is>
      </c>
      <c r="I14" s="36" t="inlineStr">
        <is>
          <t>7(前置)</t>
        </is>
      </c>
      <c r="J14" s="36" t="inlineStr">
        <is>
          <t>控制台</t>
        </is>
      </c>
      <c r="K14" s="36" t="inlineStr">
        <is>
          <t>D1</t>
        </is>
      </c>
      <c r="L14" s="36" t="inlineStr">
        <is>
          <t>人员A</t>
        </is>
      </c>
      <c r="M14" s="36" t="inlineStr">
        <is>
          <t>需 ACK 配额已批复</t>
        </is>
      </c>
    </row>
    <row r="15" ht="42.75" customHeight="1" s="11">
      <c r="A15" s="37" t="inlineStr">
        <is>
          <t>12</t>
        </is>
      </c>
      <c r="B15" s="38" t="inlineStr">
        <is>
          <t>计算</t>
        </is>
      </c>
      <c r="C15" s="38" t="inlineStr">
        <is>
          <t>ECS 节点池</t>
        </is>
      </c>
      <c r="D15" s="38" t="inlineStr">
        <is>
          <t>ecs.g9i.2xlarge（8C32G，**首选**）；实配三机型列表 [g9i.2xlarge, g8ine.2xlarge, g9ae.2xlarge]，2026-10-05 实开 4 台 ecs.g9ae.2xlarge</t>
        </is>
      </c>
      <c r="E15" s="38" t="inlineStr">
        <is>
          <t>≥ 4</t>
        </is>
      </c>
      <c r="F15" s="38" t="inlineStr">
        <is>
          <t>ecs-mnl-node-01..04</t>
        </is>
      </c>
      <c r="G15" s="38" t="inlineStr">
        <is>
          <t>跨 2 个可用区</t>
        </is>
      </c>
      <c r="H15" s="38" t="inlineStr">
        <is>
          <t>系统盘 100G ESSD PL1 + 数据盘 300G ESSD；nofile=200000</t>
        </is>
      </c>
      <c r="I15" s="38" t="inlineStr">
        <is>
          <t>11</t>
        </is>
      </c>
      <c r="J15" s="38" t="inlineStr">
        <is>
          <t>控制台</t>
        </is>
      </c>
      <c r="K15" s="38" t="inlineStr">
        <is>
          <t>D2</t>
        </is>
      </c>
      <c r="L15" s="38" t="inlineStr">
        <is>
          <t>人员A</t>
        </is>
      </c>
      <c r="M15" s="38" t="inlineStr">
        <is>
          <t>HPA min 4 / max **13**（2026-10-06 二次裁定；Pod request 2 vCPU / 4 GiB）；节点池自动伸缩 min 4 / max 8（按量 PostPaid，配额 64/64 ⇒ 顶满零余量）；13 副本需 ≥5 台节点；单 AZ 故障仍有 2 副本</t>
        </is>
      </c>
    </row>
    <row r="16" ht="14.25" customHeight="1" s="11">
      <c r="A16" s="16" t="inlineStr">
        <is>
          <t>13</t>
        </is>
      </c>
      <c r="B16" s="36" t="inlineStr">
        <is>
          <t>计算</t>
        </is>
      </c>
      <c r="C16" s="36" t="inlineStr">
        <is>
          <t>ACR 企业版（马尼拉）</t>
        </is>
      </c>
      <c r="D16" s="36" t="inlineStr">
        <is>
          <t>企业版实例</t>
        </is>
      </c>
      <c r="E16" s="36" t="n">
        <v>1</v>
      </c>
      <c r="F16" s="36" t="inlineStr">
        <is>
          <t>acr-newapi-mnl</t>
        </is>
      </c>
      <c r="G16" s="36" t="inlineStr">
        <is>
          <t>ap-southeast-6</t>
        </is>
      </c>
      <c r="H16" s="36" t="inlineStr">
        <is>
          <t>VPC 域名供集群拉取；开启镜像扫描与签名</t>
        </is>
      </c>
      <c r="I16" s="36" t="inlineStr">
        <is>
          <t>12(前置)</t>
        </is>
      </c>
      <c r="J16" s="36" t="inlineStr">
        <is>
          <t>控制台</t>
        </is>
      </c>
      <c r="K16" s="36" t="inlineStr">
        <is>
          <t>D1</t>
        </is>
      </c>
      <c r="L16" s="36" t="inlineStr">
        <is>
          <t>人员B</t>
        </is>
      </c>
      <c r="M16" s="36" t="inlineStr">
        <is>
          <t>镜像 tag = git sha</t>
        </is>
      </c>
    </row>
    <row r="17" ht="14.25" customHeight="1" s="11">
      <c r="A17" s="37" t="inlineStr">
        <is>
          <t>14</t>
        </is>
      </c>
      <c r="B17" s="38" t="inlineStr">
        <is>
          <t>数据</t>
        </is>
      </c>
      <c r="C17" s="38" t="inlineStr">
        <is>
          <t>RDS PostgreSQL 高可用版</t>
        </is>
      </c>
      <c r="D17" s="38" t="inlineStr">
        <is>
          <t>PostgreSQL 17（实测 17.10）；pg.n4.2c.2m = 2C / 8G；max_connections = 800（用户不可改）</t>
        </is>
      </c>
      <c r="E17" s="38" t="n">
        <v>1</v>
      </c>
      <c r="F17" s="38" t="inlineStr">
        <is>
          <t>rds-mnl-newapi</t>
        </is>
      </c>
      <c r="G17" s="38" t="inlineStr">
        <is>
          <t>主 A 备 B（跨可用区）</t>
        </is>
      </c>
      <c r="H17" s="38" t="inlineStr">
        <is>
          <t>PITR 7 天；每日全量 + WAL 归档 OSS；开启公网地址但仅放行新加坡 NAT EIP</t>
        </is>
      </c>
      <c r="I17" s="38" t="inlineStr">
        <is>
          <t>9(前置)</t>
        </is>
      </c>
      <c r="J17" s="38" t="inlineStr">
        <is>
          <t>控制台/IaC</t>
        </is>
      </c>
      <c r="K17" s="38" t="inlineStr">
        <is>
          <t>D1</t>
        </is>
      </c>
      <c r="L17" s="38" t="inlineStr">
        <is>
          <t>人员B</t>
        </is>
      </c>
      <c r="M17" s="38" t="inlineStr">
        <is>
          <t>菲律宾唯一主库；⚠ 2026-10-12 实查：PayType=Prepaid 且仅 1 个月，ExpireTime=2026-10-28T16:00:00Z（距当日 16 天），Create/Expire 之间无续费台账 ⇒ 到期前须续费或开自动续费，否则主库停机</t>
        </is>
      </c>
    </row>
    <row r="18" ht="14.25" customHeight="1" s="11">
      <c r="A18" s="16" t="inlineStr">
        <is>
          <t>15</t>
        </is>
      </c>
      <c r="B18" s="36" t="inlineStr">
        <is>
          <t>数据</t>
        </is>
      </c>
      <c r="C18" s="36" t="inlineStr">
        <is>
          <t>RDS 账号与数据库</t>
        </is>
      </c>
      <c r="D18" s="36" t="inlineStr">
        <is>
          <t>—</t>
        </is>
      </c>
      <c r="E18" s="36" t="n">
        <v>2</v>
      </c>
      <c r="F18" s="36" t="inlineStr">
        <is>
          <t>newapi / newapi_sg</t>
        </is>
      </c>
      <c r="G18" s="36" t="inlineStr">
        <is>
          <t>马尼拉</t>
        </is>
      </c>
      <c r="H18" s="36" t="inlineStr">
        <is>
          <t>newapi：应用主账号；newapi_sg：备 region 接管账号（最小权限）</t>
        </is>
      </c>
      <c r="I18" s="36" t="inlineStr">
        <is>
          <t>14</t>
        </is>
      </c>
      <c r="J18" s="36" t="inlineStr">
        <is>
          <t>控制台</t>
        </is>
      </c>
      <c r="K18" s="36" t="inlineStr">
        <is>
          <t>D1</t>
        </is>
      </c>
      <c r="L18" s="36" t="inlineStr">
        <is>
          <t>人员B</t>
        </is>
      </c>
      <c r="M18" s="36" t="inlineStr">
        <is>
          <t>禁止与备 region 共用超级账号</t>
        </is>
      </c>
    </row>
    <row r="19" ht="14.25" customHeight="1" s="11">
      <c r="A19" s="37" t="inlineStr">
        <is>
          <t>16</t>
        </is>
      </c>
      <c r="B19" s="38" t="inlineStr">
        <is>
          <t>数据</t>
        </is>
      </c>
      <c r="C19" s="38" t="inlineStr">
        <is>
          <t>RDS 只读实例（可选）</t>
        </is>
      </c>
      <c r="D19" s="38" t="inlineStr">
        <is>
          <t>pg 15，同规格</t>
        </is>
      </c>
      <c r="E19" s="38" t="n">
        <v>1</v>
      </c>
      <c r="F19" s="38" t="inlineStr">
        <is>
          <t>rds-mnl-newapi-ro</t>
        </is>
      </c>
      <c r="G19" s="38" t="inlineStr">
        <is>
          <t>马尼拉</t>
        </is>
      </c>
      <c r="H19" s="38" t="inlineStr">
        <is>
          <t>报表与导出类查询分流</t>
        </is>
      </c>
      <c r="I19" s="38" t="inlineStr">
        <is>
          <t>14</t>
        </is>
      </c>
      <c r="J19" s="38" t="inlineStr">
        <is>
          <t>控制台</t>
        </is>
      </c>
      <c r="K19" s="38" t="inlineStr">
        <is>
          <t>D2</t>
        </is>
      </c>
      <c r="L19" s="38" t="inlineStr">
        <is>
          <t>人员B</t>
        </is>
      </c>
      <c r="M19" s="38" t="inlineStr">
        <is>
          <t>非必需，工期/成本紧张时按裁剪预案取消</t>
        </is>
      </c>
    </row>
    <row r="20" ht="14.25" customHeight="1" s="11">
      <c r="A20" s="16" t="inlineStr">
        <is>
          <t>17</t>
        </is>
      </c>
      <c r="B20" s="36" t="inlineStr">
        <is>
          <t>缓存</t>
        </is>
      </c>
      <c r="C20" s="36" t="inlineStr">
        <is>
          <t>Tair（Redis 兼容）</t>
        </is>
      </c>
      <c r="D20" s="36" t="inlineStr">
        <is>
          <t>主备版 4 GB</t>
        </is>
      </c>
      <c r="E20" s="36" t="n">
        <v>1</v>
      </c>
      <c r="F20" s="36" t="inlineStr">
        <is>
          <t>tair-mnl-newapi</t>
        </is>
      </c>
      <c r="G20" s="36" t="inlineStr">
        <is>
          <t>多可用区</t>
        </is>
      </c>
      <c r="H20" s="36" t="inlineStr">
        <is>
          <t>密码 + 内网 ACL；maxmemory-policy allkeys-lru</t>
        </is>
      </c>
      <c r="I20" s="36" t="inlineStr">
        <is>
          <t>4(前置)</t>
        </is>
      </c>
      <c r="J20" s="36" t="inlineStr">
        <is>
          <t>控制台</t>
        </is>
      </c>
      <c r="K20" s="36" t="inlineStr">
        <is>
          <t>D1</t>
        </is>
      </c>
      <c r="L20" s="36" t="inlineStr">
        <is>
          <t>人员B</t>
        </is>
      </c>
      <c r="M20" s="36" t="inlineStr">
        <is>
          <t>生产建议升级集群版；⚠ 2026-10-12 实查：ChargeType=PrePaid 且仅 1 个月，EndTime=2026-10-28T16:00:00Z（与主库同日到期，无续费台账）</t>
        </is>
      </c>
    </row>
    <row r="21" ht="14.25" customHeight="1" s="11">
      <c r="A21" s="37" t="inlineStr">
        <is>
          <t>18</t>
        </is>
      </c>
      <c r="B21" s="38" t="inlineStr">
        <is>
          <t>日志</t>
        </is>
      </c>
      <c r="C21" s="38" t="inlineStr">
        <is>
          <t>云数据库 ClickHouse</t>
        </is>
      </c>
      <c r="D21" s="38" t="inlineStr">
        <is>
          <t>企业版 · 单可用区（只支持 ap-southeast-6a）· 存储只有 OSS · 只有按量付费</t>
        </is>
      </c>
      <c r="E21" s="38" t="n">
        <v>1</v>
      </c>
      <c r="F21" s="38" t="inlineStr">
        <is>
          <t>cc-5tsv2o51s1360b0pr（ck-mnl-newapi）</t>
        </is>
      </c>
      <c r="G21" s="38" t="inlineStr">
        <is>
          <t>马尼拉</t>
        </is>
      </c>
      <c r="H21" s="38" t="inlineStr">
        <is>
          <t>仅承载 LOG_SQL_DSN；TTL 90 天；白名单 = 主站 app 两段 + 账号 newapi/ckadmin；库 newapi_logs（表 logs 20 列与代码 DDL 同构）；**LOG_SQL_DSN 已于 2026-10-05 注入两地集群并端到端鉴权通过**（sg 用 -public 端点）</t>
        </is>
      </c>
      <c r="I21" s="38" t="inlineStr">
        <is>
          <t>9(前置)</t>
        </is>
      </c>
      <c r="J21" s="38" t="inlineStr">
        <is>
          <t>控制台</t>
        </is>
      </c>
      <c r="K21" s="38" t="inlineStr">
        <is>
          <t>D1</t>
        </is>
      </c>
      <c r="L21" s="38" t="inlineStr">
        <is>
          <t>人员B</t>
        </is>
      </c>
      <c r="M21" s="38" t="inlineStr">
        <is>
          <t>写日志失败必须降级</t>
        </is>
      </c>
    </row>
    <row r="22" ht="14.25" customHeight="1" s="11">
      <c r="A22" s="16" t="inlineStr">
        <is>
          <t>19</t>
        </is>
      </c>
      <c r="B22" s="36" t="inlineStr">
        <is>
          <t>存储</t>
        </is>
      </c>
      <c r="C22" s="36" t="inlineStr">
        <is>
          <t>OSS Bucket</t>
        </is>
      </c>
      <c r="D22" s="36" t="inlineStr">
        <is>
          <t>标准 + 低频生命周期</t>
        </is>
      </c>
      <c r="E22" s="36" t="n">
        <v>1</v>
      </c>
      <c r="F22" s="36" t="inlineStr">
        <is>
          <t>oss-newapi-mnl</t>
        </is>
      </c>
      <c r="G22" s="36" t="inlineStr">
        <is>
          <t>马尼拉</t>
        </is>
      </c>
      <c r="H22" s="36" t="inlineStr">
        <is>
          <t>同城冗余 ZRS；版本控制；90 天转归档；防盗链 + 签名 URL</t>
        </is>
      </c>
      <c r="I22" s="36" t="inlineStr">
        <is>
          <t>12(前置)</t>
        </is>
      </c>
      <c r="J22" s="36" t="inlineStr">
        <is>
          <t>控制台</t>
        </is>
      </c>
      <c r="K22" s="36" t="inlineStr">
        <is>
          <t>D1</t>
        </is>
      </c>
      <c r="L22" s="36" t="inlineStr">
        <is>
          <t>人员B</t>
        </is>
      </c>
      <c r="M22" s="36" t="inlineStr">
        <is>
          <t>同时承载 RDS 备份归档</t>
        </is>
      </c>
    </row>
    <row r="23" ht="14.25" customHeight="1" s="11">
      <c r="A23" s="37" t="inlineStr">
        <is>
          <t>20</t>
        </is>
      </c>
      <c r="B23" s="38" t="inlineStr">
        <is>
          <t>安全</t>
        </is>
      </c>
      <c r="C23" s="38" t="inlineStr">
        <is>
          <t>凭据链路（不使用 KMS）</t>
        </is>
      </c>
      <c r="D23" s="38" t="inlineStr">
        <is>
          <t>手工 Opaque Secret + 执行机保管目录 ~/.deploy_secrets（600）</t>
        </is>
      </c>
      <c r="E23" s="38" t="n">
        <v>1</v>
      </c>
      <c r="F23" s="38" t="inlineStr">
        <is>
          <t>—（无云侧资源）</t>
        </is>
      </c>
      <c r="G23" s="38" t="inlineStr">
        <is>
          <t>马尼拉</t>
        </is>
      </c>
      <c r="H23" s="38" t="inlineStr">
        <is>
          <t>2026-10-05 裁定：不实施 KMS 凭据管家 / RRSA / ExternalSecret</t>
        </is>
      </c>
      <c r="I23" s="38" t="inlineStr">
        <is>
          <t>10(前置)</t>
        </is>
      </c>
      <c r="J23" s="38" t="inlineStr">
        <is>
          <t>—</t>
        </is>
      </c>
      <c r="K23" s="38" t="inlineStr">
        <is>
          <t>—（不实施）</t>
        </is>
      </c>
      <c r="L23" s="38" t="inlineStr">
        <is>
          <t>人员B</t>
        </is>
      </c>
      <c r="M23" s="38" t="inlineStr">
        <is>
          <t>改由 deploy/task17_secret_inject.sh 以 kubectl create secret --from-literal 就地注入；轮转 = 两地人工双写 + 两次 rollout restart + 指纹核对（原「云端改一次自动跟随」的能力放弃）</t>
        </is>
      </c>
    </row>
    <row r="24" ht="14.25" customHeight="1" s="11">
      <c r="A24" s="16" t="inlineStr">
        <is>
          <t>21</t>
        </is>
      </c>
      <c r="B24" s="36" t="inlineStr">
        <is>
          <t>安全</t>
        </is>
      </c>
      <c r="C24" s="36" t="inlineStr">
        <is>
          <t>安全组与网络 ACL</t>
        </is>
      </c>
      <c r="D24" s="36" t="inlineStr">
        <is>
          <t>—</t>
        </is>
      </c>
      <c r="E24" s="36" t="inlineStr">
        <is>
          <t>—</t>
        </is>
      </c>
      <c r="F24" s="36" t="inlineStr">
        <is>
          <t>sg-mnl-alb / sg-mnl-app / sg-mnl-db</t>
        </is>
      </c>
      <c r="G24" s="36" t="inlineStr">
        <is>
          <t>马尼拉</t>
        </is>
      </c>
      <c r="H24" s="36" t="inlineStr">
        <is>
          <t>端口最小化，规则详见「网络与安全规划」</t>
        </is>
      </c>
      <c r="I24" s="36" t="inlineStr">
        <is>
          <t>2,3,12</t>
        </is>
      </c>
      <c r="J24" s="36" t="inlineStr">
        <is>
          <t>控制台</t>
        </is>
      </c>
      <c r="K24" s="36" t="inlineStr">
        <is>
          <t>D3</t>
        </is>
      </c>
      <c r="L24" s="36" t="inlineStr">
        <is>
          <t>人员A</t>
        </is>
      </c>
      <c r="M24" s="36" t="inlineStr">
        <is>
          <t>app 仅允许 ALB 访问 3000</t>
        </is>
      </c>
    </row>
    <row r="25" ht="14.25" customHeight="1" s="11">
      <c r="A25" s="37" t="inlineStr">
        <is>
          <t>22</t>
        </is>
      </c>
      <c r="B25" s="38" t="inlineStr">
        <is>
          <t>观测</t>
        </is>
      </c>
      <c r="C25" s="38" t="inlineStr">
        <is>
          <t>SLS Project / LogStore</t>
        </is>
      </c>
      <c r="D25" s="38" t="inlineStr">
        <is>
          <t>按量</t>
        </is>
      </c>
      <c r="E25" s="38" t="n">
        <v>1</v>
      </c>
      <c r="F25" s="38" t="inlineStr">
        <is>
          <t>sls-newapi-mnl</t>
        </is>
      </c>
      <c r="G25" s="38" t="inlineStr">
        <is>
          <t>马尼拉</t>
        </is>
      </c>
      <c r="H25" s="38" t="inlineStr">
        <is>
          <t>采集 stdout（容器日志实际落点 = ACK 自管项目 k8s-log-&lt;clusterId&gt;，mnl cd57e40c…）；应用文件日志实为 /data/logs/oneapi-*.log（由 CLI 参数 -log-dir 指定，非 env）；sys 30 天 / audit 180 天</t>
        </is>
      </c>
      <c r="I25" s="38" t="inlineStr">
        <is>
          <t>11</t>
        </is>
      </c>
      <c r="J25" s="38" t="inlineStr">
        <is>
          <t>控制台</t>
        </is>
      </c>
      <c r="K25" s="38" t="inlineStr">
        <is>
          <t>D4</t>
        </is>
      </c>
      <c r="L25" s="38" t="inlineStr">
        <is>
          <t>人员A</t>
        </is>
      </c>
      <c r="M25" s="38" t="inlineStr">
        <is>
          <t>Logtail DaemonSet 采集；sls-newapi-mnl 仅承载云产品侧日志（alb_access 在写；rds-audit / actiontrail 近 7 天 count=0，真因 = RDS SQL 审计 Disabled + ActionTrail 按 F6 投递 OSS）</t>
        </is>
      </c>
    </row>
    <row r="26" ht="28.5" customHeight="1" s="11">
      <c r="A26" s="16" t="inlineStr">
        <is>
          <t>23</t>
        </is>
      </c>
      <c r="B26" s="36" t="inlineStr">
        <is>
          <t>观测</t>
        </is>
      </c>
      <c r="C26" s="36" t="inlineStr">
        <is>
          <t>ARMS Prometheus + 应用监控</t>
        </is>
      </c>
      <c r="D26" s="36" t="inlineStr">
        <is>
          <t>按量</t>
        </is>
      </c>
      <c r="E26" s="36" t="n">
        <v>1</v>
      </c>
      <c r="F26" s="36" t="inlineStr">
        <is>
          <t>arms-newapi-mnl</t>
        </is>
      </c>
      <c r="G26" s="36" t="inlineStr">
        <is>
          <t>马尼拉</t>
        </is>
      </c>
      <c r="H26" s="36" t="inlineStr">
        <is>
          <t>ServiceMonitor 抓 /metrics（需补建）；OpenTelemetry SDK（需补建）</t>
        </is>
      </c>
      <c r="I26" s="36" t="inlineStr">
        <is>
          <t>11</t>
        </is>
      </c>
      <c r="J26" s="36" t="inlineStr">
        <is>
          <t>控制台</t>
        </is>
      </c>
      <c r="K26" s="36" t="inlineStr">
        <is>
          <t>D4</t>
        </is>
      </c>
      <c r="L26" s="36" t="inlineStr">
        <is>
          <t>人员A</t>
        </is>
      </c>
      <c r="M26" s="36" t="inlineStr">
        <is>
          <t>代码补建项须在 T-3 完成（门禁 G8）；**/readyz 必须免限流** —— 现用 /api/status 同时是 ALB 健康检查与 kubelet 探针路径，落在 GlobalAPIRateLimit（360/180s per IP）内，每源 IP 每窗口 480 条 ⇒ 已造成一次自伤重启（2026-10-06）</t>
        </is>
      </c>
    </row>
    <row r="27" ht="28.5" customHeight="1" s="11">
      <c r="A27" s="37" t="inlineStr">
        <is>
          <t>24</t>
        </is>
      </c>
      <c r="B27" s="38" t="inlineStr">
        <is>
          <t>观测</t>
        </is>
      </c>
      <c r="C27" s="38" t="inlineStr">
        <is>
          <t>云监控站点监控（拨测）</t>
        </is>
      </c>
      <c r="D27" s="38" t="inlineStr">
        <is>
          <t>按量</t>
        </is>
      </c>
      <c r="E27" s="38" t="n">
        <v>1</v>
      </c>
      <c r="F27" s="38" t="inlineStr">
        <is>
          <t>—</t>
        </is>
      </c>
      <c r="G27" s="38" t="inlineStr">
        <is>
          <t>马尼拉 + 新加坡 + 东京 + 香港</t>
        </is>
      </c>
      <c r="H27" s="38" t="inlineStr">
        <is>
          <t>探测 GET /api/status，间隔 1 分钟，断言 success:true 与版本匹配</t>
        </is>
      </c>
      <c r="I27" s="38" t="inlineStr">
        <is>
          <t>11(前置)</t>
        </is>
      </c>
      <c r="J27" s="38" t="inlineStr">
        <is>
          <t>控制台</t>
        </is>
      </c>
      <c r="K27" s="38" t="inlineStr">
        <is>
          <t>D4</t>
        </is>
      </c>
      <c r="L27" s="38" t="inlineStr">
        <is>
          <t>人员A</t>
        </is>
      </c>
      <c r="M27" s="38" t="inlineStr">
        <is>
          <t>真实用户视角可用性</t>
        </is>
      </c>
    </row>
    <row r="28" ht="14.25" customHeight="1" s="11">
      <c r="A28" s="16" t="inlineStr">
        <is>
          <t>25</t>
        </is>
      </c>
      <c r="B28" s="36" t="inlineStr">
        <is>
          <t>观测</t>
        </is>
      </c>
      <c r="C28" s="36" t="inlineStr">
        <is>
          <t>操作审计 ActionTrail</t>
        </is>
      </c>
      <c r="D28" s="36" t="inlineStr">
        <is>
          <t>默认</t>
        </is>
      </c>
      <c r="E28" s="36" t="n">
        <v>1</v>
      </c>
      <c r="F28" s="36" t="inlineStr">
        <is>
          <t>—</t>
        </is>
      </c>
      <c r="G28" s="36" t="inlineStr">
        <is>
          <t>马尼拉</t>
        </is>
      </c>
      <c r="H28" s="36" t="inlineStr">
        <is>
          <t>记录全部云 API 变更，保留 180 天；运维访问面另见 #38。**实况：投递 OSS（newapi-audit-trail → oss-newapi-mnl），SLS 同名 Logstore 为预留占位**</t>
        </is>
      </c>
      <c r="I28" s="36" t="inlineStr">
        <is>
          <t>5(前置)</t>
        </is>
      </c>
      <c r="J28" s="36" t="inlineStr">
        <is>
          <t>控制台</t>
        </is>
      </c>
      <c r="K28" s="36" t="inlineStr">
        <is>
          <t>D1</t>
        </is>
      </c>
      <c r="L28" s="36" t="inlineStr">
        <is>
          <t>人员A</t>
        </is>
      </c>
      <c r="M28" s="36" t="inlineStr">
        <is>
          <t>合规与变更追溯</t>
        </is>
      </c>
    </row>
    <row r="29" ht="28.5" customHeight="1" s="11">
      <c r="A29" s="37" t="inlineStr">
        <is>
          <t>26</t>
        </is>
      </c>
      <c r="B29" s="38" t="inlineStr">
        <is>
          <t>工作负载</t>
        </is>
      </c>
      <c r="C29" s="38" t="inlineStr">
        <is>
          <t>master Deployment</t>
        </is>
      </c>
      <c r="D29" s="38" t="inlineStr">
        <is>
          <t>—</t>
        </is>
      </c>
      <c r="E29" s="38" t="n">
        <v>1</v>
      </c>
      <c r="F29" s="38" t="inlineStr">
        <is>
          <t>new-api-master</t>
        </is>
      </c>
      <c r="G29" s="38" t="inlineStr">
        <is>
          <t>马尼拉</t>
        </is>
      </c>
      <c r="H29" s="38" t="inlineStr">
        <is>
          <t>NODE_TYPE=master；replicas=1；Recreate；独立 PVC（RWO）；不接 ALB 流量</t>
        </is>
      </c>
      <c r="I29" s="38" t="inlineStr">
        <is>
          <t>11,14</t>
        </is>
      </c>
      <c r="J29" s="38" t="inlineStr">
        <is>
          <t>GitOps</t>
        </is>
      </c>
      <c r="K29" s="38" t="inlineStr">
        <is>
          <t>D2</t>
        </is>
      </c>
      <c r="L29" s="38" t="inlineStr">
        <is>
          <t>人员B</t>
        </is>
      </c>
      <c r="M29" s="38" t="inlineStr">
        <is>
          <t>唯一执行 AutoMigrate 与 master-only 任务的节点</t>
        </is>
      </c>
    </row>
    <row r="30" ht="28.5" customHeight="1" s="11">
      <c r="A30" s="16" t="inlineStr">
        <is>
          <t>27</t>
        </is>
      </c>
      <c r="B30" s="36" t="inlineStr">
        <is>
          <t>工作负载</t>
        </is>
      </c>
      <c r="C30" s="36" t="inlineStr">
        <is>
          <t>stable Deployment</t>
        </is>
      </c>
      <c r="D30" s="36" t="inlineStr">
        <is>
          <t>—</t>
        </is>
      </c>
      <c r="E30" s="36" t="n">
        <v>1</v>
      </c>
      <c r="F30" s="36" t="inlineStr">
        <is>
          <t>new-api-stable</t>
        </is>
      </c>
      <c r="G30" s="36" t="inlineStr">
        <is>
          <t>跨 2 个可用区</t>
        </is>
      </c>
      <c r="H30" s="36" t="inlineStr">
        <is>
          <t>replicas=4；maxUnavailable=0；PDB **minAvailable=70%**（现网：4 副本时 disruptionsAllowed=1；16 副本口径下比固定 3 更严）；HPA **4–13**；preStop sleep 15s；**必须显式钉 GOMAXPROCS=4**（容器内 nproc=8）；补 SESSION_COOKIE_SECURE + SESSION_COOKIE_TRUSTED_URL（须成对）与 RDS 根 CA 挂载 /etc/ssl/rds（Secret rds-ca-apse6）</t>
        </is>
      </c>
      <c r="I30" s="36" t="inlineStr">
        <is>
          <t>26</t>
        </is>
      </c>
      <c r="J30" s="36" t="inlineStr">
        <is>
          <t>GitOps</t>
        </is>
      </c>
      <c r="K30" s="36" t="inlineStr">
        <is>
          <t>D3</t>
        </is>
      </c>
      <c r="L30" s="36" t="inlineStr">
        <is>
          <t>人员B</t>
        </is>
      </c>
      <c r="M30" s="36" t="inlineStr">
        <is>
          <t>滚动发布零停机是 99.95% 前提；**13 副本需 ≥5 台节点**（每台最多容 3 个 2C 副本）；HPA 缩容不经 Eviction API ⇒ PDB 拦不住自动缩容</t>
        </is>
      </c>
    </row>
    <row r="31" ht="14.25" customHeight="1" s="11">
      <c r="A31" s="37" t="inlineStr">
        <is>
          <t>28</t>
        </is>
      </c>
      <c r="B31" s="38" t="inlineStr">
        <is>
          <t>工作负载</t>
        </is>
      </c>
      <c r="C31" s="38" t="inlineStr">
        <is>
          <t>canary Deployment</t>
        </is>
      </c>
      <c r="D31" s="38" t="inlineStr">
        <is>
          <t>—</t>
        </is>
      </c>
      <c r="E31" s="38" t="n">
        <v>1</v>
      </c>
      <c r="F31" s="38" t="inlineStr">
        <is>
          <t>new-api-canary</t>
        </is>
      </c>
      <c r="G31" s="38" t="inlineStr">
        <is>
          <t>马尼拉</t>
        </is>
      </c>
      <c r="H31" s="38" t="inlineStr">
        <is>
          <t>replicas=1；独立 Service 与 Ingress；canary-weight 5→20→50→100 —— ✅ 2026-10-12 已下发，V1–V6 全过（权重 5 生效且可归零）</t>
        </is>
      </c>
      <c r="I31" s="38" t="inlineStr">
        <is>
          <t>26</t>
        </is>
      </c>
      <c r="J31" s="38" t="inlineStr">
        <is>
          <t>GitOps</t>
        </is>
      </c>
      <c r="K31" s="38" t="inlineStr">
        <is>
          <t>D3</t>
        </is>
      </c>
      <c r="L31" s="38" t="inlineStr">
        <is>
          <t>人员B</t>
        </is>
      </c>
      <c r="M31" s="38" t="inlineStr">
        <is>
          <t>灰度失败可秒级归零</t>
        </is>
      </c>
    </row>
    <row r="32" ht="28.5" customHeight="1" s="11">
      <c r="A32" s="16" t="inlineStr">
        <is>
          <t>29</t>
        </is>
      </c>
      <c r="B32" s="36" t="inlineStr">
        <is>
          <t>工作负载</t>
        </is>
      </c>
      <c r="C32" s="36" t="inlineStr">
        <is>
          <t>Namespace / ConfigMap / Secret</t>
        </is>
      </c>
      <c r="D32" s="36" t="inlineStr">
        <is>
          <t>—</t>
        </is>
      </c>
      <c r="E32" s="36" t="n">
        <v>1</v>
      </c>
      <c r="F32" s="36" t="inlineStr">
        <is>
          <t>namespace: new-api</t>
        </is>
      </c>
      <c r="G32" s="36" t="inlineStr">
        <is>
          <t>马尼拉</t>
        </is>
      </c>
      <c r="H32" s="36" t="inlineStr">
        <is>
          <t>见 impl_deploy.md 7.4.1；**密钥改手工 Opaque Secret 注入（不使用 KMS/RRSA/ExternalSecret）**；ConfigMap 默认 SQL_MAX_OPEN_CONNS=100，备站 Pod 用 env 覆盖为 10（env &gt; envFrom 已实测）</t>
        </is>
      </c>
      <c r="I32" s="36" t="inlineStr">
        <is>
          <t>20,11</t>
        </is>
      </c>
      <c r="J32" s="36" t="inlineStr">
        <is>
          <t>GitOps</t>
        </is>
      </c>
      <c r="K32" s="36" t="inlineStr">
        <is>
          <t>D2</t>
        </is>
      </c>
      <c r="L32" s="36" t="inlineStr">
        <is>
          <t>人员B</t>
        </is>
      </c>
      <c r="M32" s="36" t="inlineStr">
        <is>
          <t>SESSION_SECRET 必须全区域一致；轮换须走双密钥过渡（见动作 #55）</t>
        </is>
      </c>
    </row>
    <row r="33" ht="28.5" customHeight="1" s="11">
      <c r="A33" s="5" t="inlineStr">
        <is>
          <t>30</t>
        </is>
      </c>
      <c r="B33" s="16" t="inlineStr">
        <is>
          <t>计算</t>
        </is>
      </c>
      <c r="C33" s="16" t="inlineStr">
        <is>
          <t>PgBouncer（RDS 内置托管池）</t>
        </is>
      </c>
      <c r="D33" s="16" t="inlineStr">
        <is>
          <t>RDS PostgreSQL 内置托管 PgBouncer（实例上已启用，无自建部署）</t>
        </is>
      </c>
      <c r="E33" s="17" t="n">
        <v>1</v>
      </c>
      <c r="F33" s="16" t="inlineStr">
        <is>
          <t>—（托管形态，无独立资源）</t>
        </is>
      </c>
      <c r="G33" s="16" t="inlineStr">
        <is>
          <t>马尼拉</t>
        </is>
      </c>
      <c r="H33" s="16" t="inlineStr">
        <is>
          <t>实测参数：max_client_conn=2000 / default_pool_size=50 / pool_mode=transaction / query_wait_timeout=120；内网串与公网串均监听 6432；master 迁移路径直连不走池</t>
        </is>
      </c>
      <c r="I33" s="16" t="inlineStr">
        <is>
          <t>14,15</t>
        </is>
      </c>
      <c r="J33" s="16" t="inlineStr">
        <is>
          <t>GitOps</t>
        </is>
      </c>
      <c r="K33" s="16" t="inlineStr">
        <is>
          <t>D2</t>
        </is>
      </c>
      <c r="L33" s="17" t="inlineStr">
        <is>
          <t>人员B</t>
        </is>
      </c>
      <c r="M33" s="16" t="inlineStr">
        <is>
          <t>F10 已撤销自建口径；I-1 仅在 CK 日志库分支成立（13×100 + 20×10 = 1500 ≤ 2000 ✅）；「池化是切流硬性前置」不变</t>
        </is>
      </c>
    </row>
    <row r="34" ht="28.5" customHeight="1" s="11">
      <c r="A34" s="5" t="inlineStr">
        <is>
          <t>31</t>
        </is>
      </c>
      <c r="B34" s="16" t="inlineStr">
        <is>
          <t>网络</t>
        </is>
      </c>
      <c r="C34" s="16" t="inlineStr">
        <is>
          <t>节点池自动伸缩（ACK 托管弹性组件 ack-goatscaler）</t>
        </is>
      </c>
      <c r="D34" s="16" t="inlineStr">
        <is>
          <t>ACK 托管侧组件（版本随 ACK）</t>
        </is>
      </c>
      <c r="E34" s="17" t="n">
        <v>1</v>
      </c>
      <c r="F34" s="16" t="inlineStr">
        <is>
          <t>—（无独立资源；状态在 cm/kube-system/autoscaler-meta）</t>
        </is>
      </c>
      <c r="G34" s="16" t="inlineStr">
        <is>
          <t>马尼拉</t>
        </is>
      </c>
      <c r="H34" s="16" t="inlineStr">
        <is>
          <t>节点池 np-mnl-app enable=true min 4 / max 8（按量 PostPaid，配额 64/64）；scan_interval 60s / expander least-waste / utilization_threshold 0.5 / unneeded_duration 10m / cool_down_duration 10m / **scale_down_enabled true**</t>
        </is>
      </c>
      <c r="I34" s="16" t="inlineStr">
        <is>
          <t>11</t>
        </is>
      </c>
      <c r="J34" s="16" t="inlineStr">
        <is>
          <t>GitOps</t>
        </is>
      </c>
      <c r="K34" s="16" t="inlineStr">
        <is>
          <t>D4</t>
        </is>
      </c>
      <c r="L34" s="17" t="inlineStr">
        <is>
          <t>人员A</t>
        </is>
      </c>
      <c r="M34" s="16" t="inlineStr">
        <is>
          <t>组件存在性已证（lease 续租与节点 date -u 同秒）；**「能自动扩出节点」从未被验证** ⇒ 任务 42 验收未做；scale_down_enabled=true 与 HPA 缩容构成双层缩容风险</t>
        </is>
      </c>
    </row>
    <row r="35" ht="28.5" customHeight="1" s="11">
      <c r="A35" s="5" t="inlineStr">
        <is>
          <t>32</t>
        </is>
      </c>
      <c r="B35" s="16" t="inlineStr">
        <is>
          <t>接入</t>
        </is>
      </c>
      <c r="C35" s="16" t="inlineStr">
        <is>
          <t>证书部署与 SNI 校验</t>
        </is>
      </c>
      <c r="D35" s="16" t="inlineStr">
        <is>
          <t>—</t>
        </is>
      </c>
      <c r="E35" s="17" t="n">
        <v>1</v>
      </c>
      <c r="F35" s="16" t="inlineStr">
        <is>
          <t>—</t>
        </is>
      </c>
      <c r="G35" s="16" t="inlineStr">
        <is>
          <t>马尼拉</t>
        </is>
      </c>
      <c r="H35" s="16" t="inlineStr">
        <is>
          <t>证书部署至 ALB / WAF / DCDN；ALB 层启用 SNI 与域名校验 —— ✅ 2026-10-12：证书 606823-ap-southeast-1 已部署至两地 ALB 443 并通过链校验/SNI（⏸ 2026-10-12 F15：WAF 本轮不采购、DCDN 未启用 ⇒ 本卡部署对象只剩 ALB）</t>
        </is>
      </c>
      <c r="I35" s="16" t="inlineStr">
        <is>
          <t>7,8,9</t>
        </is>
      </c>
      <c r="J35" s="16" t="inlineStr">
        <is>
          <t>控制台</t>
        </is>
      </c>
      <c r="K35" s="16" t="inlineStr">
        <is>
          <t>D5</t>
        </is>
      </c>
      <c r="L35" s="17" t="inlineStr">
        <is>
          <t>人员A</t>
        </is>
      </c>
      <c r="M35" s="16" t="inlineStr">
        <is>
          <t>修正原方案「D1 部署证书但 ALB/WAF 尚未创建」的时序错误</t>
        </is>
      </c>
    </row>
    <row r="36" ht="28.5" customHeight="1" s="11">
      <c r="A36" s="5" t="inlineStr">
        <is>
          <t>33</t>
        </is>
      </c>
      <c r="B36" s="16" t="inlineStr">
        <is>
          <t>计算</t>
        </is>
      </c>
      <c r="C36" s="16" t="inlineStr">
        <is>
          <t>staging / perf 环境</t>
        </is>
      </c>
      <c r="D36" s="16" t="inlineStr">
        <is>
          <t>ACK 命名空间 + 2 × g8i.xlarge（按需）</t>
        </is>
      </c>
      <c r="E36" s="17" t="n">
        <v>1</v>
      </c>
      <c r="F36" s="16" t="inlineStr">
        <is>
          <t>ns: new-api-staging / new-api-perf</t>
        </is>
      </c>
      <c r="G36" s="16" t="inlineStr">
        <is>
          <t>马尼拉</t>
        </is>
      </c>
      <c r="H36" s="16" t="inlineStr">
        <is>
          <t>集成与三数据库矩阵验证、压测矩阵承载；使用主站 RDS 的逻辑隔离 schema（不新建实例，不构成对「新加坡不部署 RDS」红线的例外）</t>
        </is>
      </c>
      <c r="I36" s="16" t="inlineStr">
        <is>
          <t>10</t>
        </is>
      </c>
      <c r="J36" s="16" t="inlineStr">
        <is>
          <t>GitOps</t>
        </is>
      </c>
      <c r="K36" s="16" t="inlineStr">
        <is>
          <t>D3</t>
        </is>
      </c>
      <c r="L36" s="17" t="inlineStr">
        <is>
          <t>人员A</t>
        </is>
      </c>
      <c r="M36" s="16" t="inlineStr">
        <is>
          <t>修复原方案「#33 压测无环境可跑」；impl_deploy.md 7.9 环境矩阵的前置</t>
        </is>
      </c>
    </row>
    <row r="37" ht="14.25" customHeight="1" s="11">
      <c r="A37" s="5" t="inlineStr">
        <is>
          <t>34</t>
        </is>
      </c>
      <c r="B37" s="16" t="inlineStr">
        <is>
          <t>安全</t>
        </is>
      </c>
      <c r="C37" s="16" t="inlineStr">
        <is>
          <t>支付回调源 IP 白名单</t>
        </is>
      </c>
      <c r="D37" s="16" t="inlineStr">
        <is>
          <t>—</t>
        </is>
      </c>
      <c r="E37" s="17" t="n">
        <v>1</v>
      </c>
      <c r="F37" s="16" t="inlineStr">
        <is>
          <t>—</t>
        </is>
      </c>
      <c r="G37" s="16" t="inlineStr">
        <is>
          <t>马尼拉</t>
        </is>
      </c>
      <c r="H37" s="16" t="inlineStr">
        <is>
          <t>WAF 放行回调路径 + 支付渠道回调源 IP 段白名单 + 签名校验</t>
        </is>
      </c>
      <c r="I37" s="16" t="inlineStr">
        <is>
          <t>20</t>
        </is>
      </c>
      <c r="J37" s="16" t="inlineStr">
        <is>
          <t>控制台</t>
        </is>
      </c>
      <c r="K37" s="16" t="inlineStr">
        <is>
          <t>D5</t>
        </is>
      </c>
      <c r="L37" s="17" t="inlineStr">
        <is>
          <t>人员B</t>
        </is>
      </c>
      <c r="M37" s="16" t="inlineStr">
        <is>
          <t>防伪造回调</t>
        </is>
      </c>
    </row>
    <row r="38" ht="42.75" customHeight="1" s="11">
      <c r="A38" s="5" t="inlineStr">
        <is>
          <t>35</t>
        </is>
      </c>
      <c r="B38" s="16" t="inlineStr">
        <is>
          <t>数据</t>
        </is>
      </c>
      <c r="C38" s="16" t="inlineStr">
        <is>
          <t>连接数预算与参数组</t>
        </is>
      </c>
      <c r="D38" s="16" t="inlineStr">
        <is>
          <t>—</t>
        </is>
      </c>
      <c r="E38" s="17" t="n">
        <v>1</v>
      </c>
      <c r="F38" s="16" t="inlineStr">
        <is>
          <t>—</t>
        </is>
      </c>
      <c r="G38" s="16" t="inlineStr">
        <is>
          <t>马尼拉</t>
        </is>
      </c>
      <c r="H38" s="16" t="inlineStr">
        <is>
          <t>SQL_MAX_OPEN_CONNS=100（一个值同时管主库与日志库）/ RDS max_connections=800 ⇒ 预算上限 640 / 托管池 max_client_conn=2000；核算式：(主站 conns × 实例数) + (备 region conns × 实例数) ≤ max_connections × 0.8</t>
        </is>
      </c>
      <c r="I38" s="16" t="inlineStr">
        <is>
          <t>4</t>
        </is>
      </c>
      <c r="J38" s="16" t="inlineStr">
        <is>
          <t>控制台</t>
        </is>
      </c>
      <c r="K38" s="16" t="inlineStr">
        <is>
          <t>D2</t>
        </is>
      </c>
      <c r="L38" s="17" t="inlineStr">
        <is>
          <t>人员B</t>
        </is>
      </c>
      <c r="M38" s="16" t="inlineStr">
        <is>
          <t>落地任务 #4「参数组」的验收项；扩容后避免打爆 PG。**代码里没有 LOG_SQL_MAX_OPEN_CONNS**（主库与日志库读同一组变量）⇒ 不存在「只降日志库」的路径</t>
        </is>
      </c>
    </row>
    <row r="39" ht="28.5" customHeight="1" s="11">
      <c r="A39" s="5" t="inlineStr">
        <is>
          <t>36</t>
        </is>
      </c>
      <c r="B39" s="16" t="inlineStr">
        <is>
          <t>网络</t>
        </is>
      </c>
      <c r="C39" s="16" t="inlineStr">
        <is>
          <t>出口带宽规格</t>
        </is>
      </c>
      <c r="D39" s="16" t="inlineStr">
        <is>
          <t>NAT 网关 ≥ 200 Mbps；EIP 峰值 ≥ 100 Mbps</t>
        </is>
      </c>
      <c r="E39" s="17" t="inlineStr">
        <is>
          <t>—</t>
        </is>
      </c>
      <c r="F39" s="16" t="inlineStr">
        <is>
          <t>—</t>
        </is>
      </c>
      <c r="G39" s="16" t="inlineStr">
        <is>
          <t>马尼拉</t>
        </is>
      </c>
      <c r="H39" s="16" t="inlineStr">
        <is>
          <t>按 1,000 并发 ≈ 40 Mbps 估算并留 burst 余量；ALB LCU 上限一并确认</t>
        </is>
      </c>
      <c r="I39" s="16" t="inlineStr">
        <is>
          <t>4</t>
        </is>
      </c>
      <c r="J39" s="16" t="inlineStr">
        <is>
          <t>控制台</t>
        </is>
      </c>
      <c r="K39" s="16" t="inlineStr">
        <is>
          <t>D1</t>
        </is>
      </c>
      <c r="L39" s="17" t="inlineStr">
        <is>
          <t>人员A</t>
        </is>
      </c>
      <c r="M39" s="16" t="inlineStr">
        <is>
          <t>流式网关硬瓶颈（impl_deploy.md 8.5）</t>
        </is>
      </c>
    </row>
    <row r="40" ht="14.25" customHeight="1" s="11">
      <c r="A40" s="5" t="inlineStr">
        <is>
          <t>37</t>
        </is>
      </c>
      <c r="B40" s="16" t="inlineStr">
        <is>
          <t>观测</t>
        </is>
      </c>
      <c r="C40" s="16" t="inlineStr">
        <is>
          <t>Grafana 服务 / 工作区</t>
        </is>
      </c>
      <c r="D40" s="16" t="inlineStr">
        <is>
          <t>按量</t>
        </is>
      </c>
      <c r="E40" s="17" t="n">
        <v>1</v>
      </c>
      <c r="F40" s="16" t="inlineStr">
        <is>
          <t>grafana-newapi-mnl</t>
        </is>
      </c>
      <c r="G40" s="16" t="inlineStr">
        <is>
          <t>马尼拉</t>
        </is>
      </c>
      <c r="H40" s="16" t="inlineStr">
        <is>
          <t>SLO 与错误预算看板载体，对接 ARMS Prometheus 数据源</t>
        </is>
      </c>
      <c r="I40" s="16" t="inlineStr">
        <is>
          <t>22</t>
        </is>
      </c>
      <c r="J40" s="16" t="inlineStr">
        <is>
          <t>控制台</t>
        </is>
      </c>
      <c r="K40" s="16" t="inlineStr">
        <is>
          <t>D4</t>
        </is>
      </c>
      <c r="L40" s="17" t="inlineStr">
        <is>
          <t>人员A</t>
        </is>
      </c>
      <c r="M40" s="16" t="inlineStr">
        <is>
          <t>impl_deploy.md 7.8 观测栈要求</t>
        </is>
      </c>
    </row>
    <row r="41" ht="28.5" customHeight="1" s="11">
      <c r="A41" s="5" t="inlineStr">
        <is>
          <t>38</t>
        </is>
      </c>
      <c r="B41" s="16" t="inlineStr">
        <is>
          <t>安全</t>
        </is>
      </c>
      <c r="C41" s="16" t="inlineStr">
        <is>
          <t>运维访问面</t>
        </is>
      </c>
      <c r="D41" s="16" t="inlineStr">
        <is>
          <t>堡垒机 / VPN + ACK 私网端点</t>
        </is>
      </c>
      <c r="E41" s="17" t="n">
        <v>1</v>
      </c>
      <c r="F41" s="16" t="inlineStr">
        <is>
          <t>—</t>
        </is>
      </c>
      <c r="G41" s="16" t="inlineStr">
        <is>
          <t>马尼拉</t>
        </is>
      </c>
      <c r="H41" s="16" t="inlineStr">
        <is>
          <t>kubeconfig 分发 + RAM→RBAC 映射 + API Server 私网端点（或 ACL 白名单）+ 生产变更审批路径</t>
        </is>
      </c>
      <c r="I41" s="16" t="inlineStr">
        <is>
          <t>10</t>
        </is>
      </c>
      <c r="J41" s="16" t="inlineStr">
        <is>
          <t>控制台</t>
        </is>
      </c>
      <c r="K41" s="16" t="inlineStr">
        <is>
          <t>D2</t>
        </is>
      </c>
      <c r="L41" s="17" t="inlineStr">
        <is>
          <t>人员A</t>
        </is>
      </c>
      <c r="M41" s="16" t="inlineStr">
        <is>
          <t>ACK Pro 默认公网端点属高风险面，须关闭或加 ACL；**2026-10-05 已实测 newapi-master PUBLIC→PRIVATE，双 SA 门禁复验通过**</t>
        </is>
      </c>
    </row>
    <row r="42" ht="28.5" customHeight="1" s="11">
      <c r="A42" s="5" t="inlineStr">
        <is>
          <t>39</t>
        </is>
      </c>
      <c r="B42" s="16" t="inlineStr">
        <is>
          <t>观测</t>
        </is>
      </c>
      <c r="C42" s="16" t="inlineStr">
        <is>
          <t>成本看板与预算告警</t>
        </is>
      </c>
      <c r="D42" s="16" t="inlineStr">
        <is>
          <t>按量</t>
        </is>
      </c>
      <c r="E42" s="17" t="n">
        <v>1</v>
      </c>
      <c r="F42" s="16" t="inlineStr">
        <is>
          <t>—</t>
        </is>
      </c>
      <c r="G42" s="16" t="inlineStr">
        <is>
          <t>马尼拉</t>
        </is>
      </c>
      <c r="H42" s="16" t="inlineStr">
        <is>
          <t>成本标签 site / project / env；月度预算告警阈值 80%；覆盖出站流量、ALB LCU、跨区公网读写、WAF 请求数、DCDN 流量、GA（如启用）</t>
        </is>
      </c>
      <c r="I42" s="16" t="inlineStr">
        <is>
          <t>5</t>
        </is>
      </c>
      <c r="J42" s="16" t="inlineStr">
        <is>
          <t>控制台</t>
        </is>
      </c>
      <c r="K42" s="16" t="inlineStr">
        <is>
          <t>D5</t>
        </is>
      </c>
      <c r="L42" s="17" t="inlineStr">
        <is>
          <t>人员A</t>
        </is>
      </c>
      <c r="M42" s="16" t="inlineStr">
        <is>
          <t>原方案无成本量化，主要变量未落入表格；**节点单价按实况整机（含系统盘 100G ESSD + 数据盘 300G ESSD PL1）取：g9ae 包月 288.82 / 按量 0.51848 USD·h（4 台按量 ≈1513.96 USD/月）**</t>
        </is>
      </c>
    </row>
  </sheetData>
  <autoFilter ref="A3:M42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zoomScale="110" zoomScaleNormal="110" workbookViewId="0">
      <selection activeCell="A1" sqref="A1:M1"/>
    </sheetView>
  </sheetViews>
  <sheetFormatPr baseColWidth="8" defaultColWidth="9" defaultRowHeight="13.5"/>
  <cols>
    <col width="4.775" customWidth="1" style="1" min="1" max="1"/>
    <col width="7.60833333333333" customWidth="1" style="1" min="2" max="2"/>
    <col width="18" customWidth="1" style="1" min="3" max="3"/>
    <col width="16.375" customWidth="1" style="1" min="4" max="4"/>
    <col width="3.625" customWidth="1" style="1" min="5" max="5"/>
    <col width="28.125" customWidth="1" style="1" min="6" max="6"/>
    <col width="12.125" customWidth="1" style="1" min="7" max="7"/>
    <col width="80" customWidth="1" style="1" min="8" max="8"/>
    <col width="9.125" customWidth="1" style="1" min="9" max="9"/>
    <col width="8.125" customWidth="1" style="1" min="10" max="10"/>
    <col width="5.125" customWidth="1" style="1" min="11" max="11"/>
    <col width="4.625" customWidth="1" style="1" min="12" max="12"/>
    <col width="67.25" customWidth="1" style="1" min="13" max="13"/>
    <col width="9" customWidth="1" style="1" min="14" max="26"/>
  </cols>
  <sheetData>
    <row r="1" ht="21" customHeight="1" s="11">
      <c r="A1" s="29" t="inlineStr">
        <is>
          <t>备 region 资源清单 · ap-southeast-1（新加坡，仅承载菲律宾备用负载）</t>
        </is>
      </c>
    </row>
    <row r="3" ht="14.25" customHeight="1" s="11">
      <c r="A3" s="30" t="inlineStr">
        <is>
          <t>序号</t>
        </is>
      </c>
      <c r="B3" s="30" t="inlineStr">
        <is>
          <t>层</t>
        </is>
      </c>
      <c r="C3" s="30" t="inlineStr">
        <is>
          <t>资源 / 产品</t>
        </is>
      </c>
      <c r="D3" s="30" t="inlineStr">
        <is>
          <t>规格与版本</t>
        </is>
      </c>
      <c r="E3" s="30" t="inlineStr">
        <is>
          <t>数量</t>
        </is>
      </c>
      <c r="F3" s="30" t="inlineStr">
        <is>
          <t>命名规范</t>
        </is>
      </c>
      <c r="G3" s="30" t="inlineStr">
        <is>
          <t>地域 / 可用区</t>
        </is>
      </c>
      <c r="H3" s="30" t="inlineStr">
        <is>
          <t>关键配置</t>
        </is>
      </c>
      <c r="I3" s="30" t="inlineStr">
        <is>
          <t>前置依赖</t>
        </is>
      </c>
      <c r="J3" s="30" t="inlineStr">
        <is>
          <t>申请方式</t>
        </is>
      </c>
      <c r="K3" s="30" t="inlineStr">
        <is>
          <t>落地日</t>
        </is>
      </c>
      <c r="L3" s="30" t="inlineStr">
        <is>
          <t>负责</t>
        </is>
      </c>
      <c r="M3" s="30" t="inlineStr">
        <is>
          <t>备注</t>
        </is>
      </c>
    </row>
    <row r="4" ht="14.25" customHeight="1" s="11">
      <c r="A4" s="5" t="inlineStr">
        <is>
          <t>1</t>
        </is>
      </c>
      <c r="B4" s="5" t="inlineStr">
        <is>
          <t>网络</t>
        </is>
      </c>
      <c r="C4" s="5" t="inlineStr">
        <is>
          <t>VPC</t>
        </is>
      </c>
      <c r="D4" s="5" t="inlineStr">
        <is>
          <t>10.1.0.0/16</t>
        </is>
      </c>
      <c r="E4" s="5" t="n">
        <v>1</v>
      </c>
      <c r="F4" s="5" t="inlineStr">
        <is>
          <t>vpc-newapi-sg-prod</t>
        </is>
      </c>
      <c r="G4" s="5" t="inlineStr">
        <is>
          <t>ap-southeast-1</t>
        </is>
      </c>
      <c r="H4" s="5" t="inlineStr">
        <is>
          <t>独立 VPC；不部署任何数据库实例</t>
        </is>
      </c>
      <c r="I4" s="5" t="inlineStr">
        <is>
          <t>—</t>
        </is>
      </c>
      <c r="J4" s="5" t="inlineStr">
        <is>
          <t>控制台/IaC</t>
        </is>
      </c>
      <c r="K4" s="5" t="inlineStr">
        <is>
          <t>D1</t>
        </is>
      </c>
      <c r="L4" s="5" t="inlineStr">
        <is>
          <t>人员A</t>
        </is>
      </c>
      <c r="M4" s="5" t="inlineStr">
        <is>
          <t>网段与马尼拉不重叠</t>
        </is>
      </c>
    </row>
    <row r="5" ht="14.25" customHeight="1" s="11">
      <c r="A5" s="31" t="inlineStr">
        <is>
          <t>2</t>
        </is>
      </c>
      <c r="B5" s="31" t="inlineStr">
        <is>
          <t>网络</t>
        </is>
      </c>
      <c r="C5" s="31" t="inlineStr">
        <is>
          <t>vSwitch</t>
        </is>
      </c>
      <c r="D5" s="31" t="inlineStr">
        <is>
          <t>2 × /24 + 8 × /20</t>
        </is>
      </c>
      <c r="E5" s="31" t="inlineStr">
        <is>
          <t>10</t>
        </is>
      </c>
      <c r="F5" s="31" t="inlineStr">
        <is>
          <t>vsw-sg-pub-a/b、vsw-sg-app-a/b/c/d、vsw-sg-data-a/b/c/d</t>
        </is>
      </c>
      <c r="G5" s="31" t="inlineStr">
        <is>
          <t>跨 4 个可用区（1a/1b/1c/1d）</t>
        </is>
      </c>
      <c r="H5" s="31" t="inlineStr">
        <is>
          <t>公共子网承载 ALB 与 NAT；私有子网承载 Pod</t>
        </is>
      </c>
      <c r="I5" s="31" t="inlineStr">
        <is>
          <t>1</t>
        </is>
      </c>
      <c r="J5" s="31" t="inlineStr">
        <is>
          <t>控制台/IaC</t>
        </is>
      </c>
      <c r="K5" s="31" t="inlineStr">
        <is>
          <t>D1</t>
        </is>
      </c>
      <c r="L5" s="31" t="inlineStr">
        <is>
          <t>人员A</t>
        </is>
      </c>
      <c r="M5" s="31" t="inlineStr">
        <is>
          <t>至少 2 个可用区（2026-10-08 扩为 4：app/data 各 +c/d）</t>
        </is>
      </c>
    </row>
    <row r="6" ht="14.25" customHeight="1" s="11">
      <c r="A6" s="5" t="inlineStr">
        <is>
          <t>3</t>
        </is>
      </c>
      <c r="B6" s="5" t="inlineStr">
        <is>
          <t>网络</t>
        </is>
      </c>
      <c r="C6" s="5" t="inlineStr">
        <is>
          <t>NAT 网关 + EIP 池</t>
        </is>
      </c>
      <c r="D6" s="5" t="inlineStr">
        <is>
          <t>≥ 4 个 EIP</t>
        </is>
      </c>
      <c r="E6" s="5" t="n">
        <v>4</v>
      </c>
      <c r="F6" s="5" t="inlineStr">
        <is>
          <t>nat-sg-prod / eip-sg-upstream-01..04</t>
        </is>
      </c>
      <c r="G6" s="5" t="inlineStr">
        <is>
          <t>多可用区</t>
        </is>
      </c>
      <c r="H6" s="5" t="inlineStr">
        <is>
          <t>固定 EIP 两用：① 上游出口白名单；② 马尼拉 RDS 公网白名单来源</t>
        </is>
      </c>
      <c r="I6" s="5" t="inlineStr">
        <is>
          <t>1</t>
        </is>
      </c>
      <c r="J6" s="5" t="inlineStr">
        <is>
          <t>控制台/IaC</t>
        </is>
      </c>
      <c r="K6" s="5" t="inlineStr">
        <is>
          <t>D1</t>
        </is>
      </c>
      <c r="L6" s="5" t="inlineStr">
        <is>
          <t>人员A</t>
        </is>
      </c>
      <c r="M6" s="5" t="inlineStr">
        <is>
          <t>关键：这批 EIP 必须加入马尼拉 RDS 白名单，禁止 0.0.0.0/0</t>
        </is>
      </c>
    </row>
    <row r="7" ht="14.25" customHeight="1" s="11">
      <c r="A7" s="31" t="inlineStr">
        <is>
          <t>4</t>
        </is>
      </c>
      <c r="B7" s="31" t="inlineStr">
        <is>
          <t>接入</t>
        </is>
      </c>
      <c r="C7" s="31" t="inlineStr">
        <is>
          <t>ALB</t>
        </is>
      </c>
      <c r="D7" s="31" t="inlineStr">
        <is>
          <t>标准版 II</t>
        </is>
      </c>
      <c r="E7" s="31" t="n">
        <v>1</v>
      </c>
      <c r="F7" s="31" t="inlineStr">
        <is>
          <t>alb-newapi-sg</t>
        </is>
      </c>
      <c r="G7" s="31" t="inlineStr">
        <is>
          <t>跨 2 个可用区</t>
        </is>
      </c>
      <c r="H7" s="31" t="inlineStr">
        <is>
          <t>实况：**只有 HTTP:80 一个监听**（443 待 G5）；idleTimeout 60s + requestTimeout 180s；⚠ sg 侧两个服务器组挂同一批 ENI、pri=2 无 host 条件（任意 Host 进业务组）⇒ 属任务 25/47 收口项</t>
        </is>
      </c>
      <c r="I7" s="31" t="inlineStr">
        <is>
          <t>3,17(前置)</t>
        </is>
      </c>
      <c r="J7" s="31" t="inlineStr">
        <is>
          <t>控制台/IaC</t>
        </is>
      </c>
      <c r="K7" s="31" t="inlineStr">
        <is>
          <t>D4</t>
        </is>
      </c>
      <c r="L7" s="31" t="inlineStr">
        <is>
          <t>人员A</t>
        </is>
      </c>
      <c r="M7" s="31" t="inlineStr">
        <is>
          <t>GTM 接管时直接解析到该 ALB</t>
        </is>
      </c>
    </row>
    <row r="8" ht="14.25" customHeight="1" s="11">
      <c r="A8" s="5" t="inlineStr">
        <is>
          <t>5</t>
        </is>
      </c>
      <c r="B8" s="5" t="inlineStr">
        <is>
          <t>接入</t>
        </is>
      </c>
      <c r="C8" s="5" t="inlineStr">
        <is>
          <t>WAF 3.0</t>
        </is>
      </c>
      <c r="D8" s="5" t="inlineStr">
        <is>
          <t>⏸ 2026-10-12 裁定（F15）：本轮**不采购**（与马尼拉同口径，暂缓）；备站接管后同样无 L7 防护，属知情接受风险（任务 25 坑 2）</t>
        </is>
      </c>
      <c r="E8" s="5" t="n">
        <v>1</v>
      </c>
      <c r="F8" s="5" t="inlineStr">
        <is>
          <t>waf-newapi-sg</t>
        </is>
      </c>
      <c r="G8" s="5" t="inlineStr">
        <is>
          <t>新加坡</t>
        </is>
      </c>
      <c r="H8" s="5" t="inlineStr">
        <is>
          <t>接管时承接 www.likha.hk 流量（备站另有公网入口 sg.likha.hk，2026-10-09 裁定新增，不进 GTM 池）；规则与马尼拉保持一致；⏸ 2026-10-12 F15：两地均不接 WAF ⇒ 接管后无「WAF 规则一致性」校验项，改为两地 ALB 监听/Ingress 规则 diff（任务 34）</t>
        </is>
      </c>
      <c r="I8" s="5" t="inlineStr">
        <is>
          <t>4</t>
        </is>
      </c>
      <c r="J8" s="5" t="inlineStr">
        <is>
          <t>控制台</t>
        </is>
      </c>
      <c r="K8" s="5" t="inlineStr">
        <is>
          <t>D4</t>
        </is>
      </c>
      <c r="L8" s="5" t="inlineStr">
        <is>
          <t>人员A</t>
        </is>
      </c>
      <c r="M8" s="5" t="inlineStr">
        <is>
          <t>规则差异会导致切换后行为不一致</t>
        </is>
      </c>
    </row>
    <row r="9" ht="14.25" customHeight="1" s="11">
      <c r="A9" s="31" t="inlineStr">
        <is>
          <t>6</t>
        </is>
      </c>
      <c r="B9" s="31" t="inlineStr">
        <is>
          <t>接入</t>
        </is>
      </c>
      <c r="C9" s="31" t="inlineStr">
        <is>
          <t>ACR 企业版（新加坡）</t>
        </is>
      </c>
      <c r="D9" s="31" t="inlineStr">
        <is>
          <t>单地域马尼拉（不建独立 ACR）</t>
        </is>
      </c>
      <c r="E9" s="31" t="n">
        <v>1</v>
      </c>
      <c r="F9" s="31" t="inlineStr">
        <is>
          <t>acr-newapi-sg</t>
        </is>
      </c>
      <c r="G9" s="31" t="inlineStr">
        <is>
          <t>ap-southeast-1</t>
        </is>
      </c>
      <c r="H9" s="31" t="inlineStr">
        <is>
          <t>**F8：镜像源改单地域马尼拉**；新加坡不建独立 ACR，跨区用马尼拉 ACR 公网域名拉取（sg 节点解析不了 -vpc 内网域名）</t>
        </is>
      </c>
      <c r="I9" s="31" t="inlineStr">
        <is>
          <t>12(前置)</t>
        </is>
      </c>
      <c r="J9" s="31" t="inlineStr">
        <is>
          <t>控制台</t>
        </is>
      </c>
      <c r="K9" s="31" t="inlineStr">
        <is>
          <t>D1</t>
        </is>
      </c>
      <c r="L9" s="31" t="inlineStr">
        <is>
          <t>人员B</t>
        </is>
      </c>
      <c r="M9" s="31" t="inlineStr">
        <is>
          <t>ACR EE 端点只接受本地域 VPC 绑定 ⇒ 跨区内网拉镜像不可行；Pull 凭据挂在 SA/new-api-app</t>
        </is>
      </c>
    </row>
    <row r="10" ht="28.5" customHeight="1" s="11">
      <c r="A10" s="5" t="inlineStr">
        <is>
          <t>7</t>
        </is>
      </c>
      <c r="B10" s="5" t="inlineStr">
        <is>
          <t>计算</t>
        </is>
      </c>
      <c r="C10" s="5" t="inlineStr">
        <is>
          <t>ACK Pro 托管版</t>
        </is>
      </c>
      <c r="D10" s="5" t="inlineStr">
        <is>
          <t>控制面 SLA 99.95%</t>
        </is>
      </c>
      <c r="E10" s="5" t="n">
        <v>1</v>
      </c>
      <c r="F10" s="5" t="inlineStr">
        <is>
          <t>ack-newapi-sg</t>
        </is>
      </c>
      <c r="G10" s="5" t="inlineStr">
        <is>
          <t>多可用区</t>
        </is>
      </c>
      <c r="H10" s="5" t="inlineStr">
        <is>
          <t>与马尼拉同构；本期仅承载 PH 备（泰国备为二期、不共用本集群）。二期若让泰国备复用该集群（独立 Deployment），须重算节点池上限并重新申请配额</t>
        </is>
      </c>
      <c r="I10" s="5" t="inlineStr">
        <is>
          <t>1</t>
        </is>
      </c>
      <c r="J10" s="5" t="inlineStr">
        <is>
          <t>控制台</t>
        </is>
      </c>
      <c r="K10" s="5" t="inlineStr">
        <is>
          <t>D3</t>
        </is>
      </c>
      <c r="L10" s="5" t="inlineStr">
        <is>
          <t>人员A</t>
        </is>
      </c>
      <c r="M10" s="5" t="inlineStr">
        <is>
          <t>不同站点备负载必须互相隔离</t>
        </is>
      </c>
    </row>
    <row r="11" ht="42.75" customHeight="1" s="11">
      <c r="A11" s="31" t="inlineStr">
        <is>
          <t>8</t>
        </is>
      </c>
      <c r="B11" s="31" t="inlineStr">
        <is>
          <t>计算</t>
        </is>
      </c>
      <c r="C11" s="31" t="inlineStr">
        <is>
          <t>ECS 节点池</t>
        </is>
      </c>
      <c r="D11" s="31" t="inlineStr">
        <is>
          <t>ecs.g9i.2xlarge（8C32G，**首选**）；实况 2 台为**混型**：ecs.g8ine.2xlarge + ecs.g9ae.2xlarge</t>
        </is>
      </c>
      <c r="E11" s="31" t="inlineStr">
        <is>
          <t>≥ 2</t>
        </is>
      </c>
      <c r="F11" s="31" t="inlineStr">
        <is>
          <t>ecs-sg-node-01..02</t>
        </is>
      </c>
      <c r="G11" s="31" t="inlineStr">
        <is>
          <t>跨 2 个可用区</t>
        </is>
      </c>
      <c r="H11" s="31" t="inlineStr">
        <is>
          <t>PH 备常态 2 副本（本期唯一工作负载，不含泰国备）；节点池自动伸缩 min 2 / **max 12**（实况配额 96 vCPU）。按接管 20 副本折算：20 × request 2 vCPU = 40 vCPU，÷ (7.9 × 0.8 = 6.32) ≈ 6.3 → 7 节点（容量下限 8 节点 / 64 vCPU）；冷备形态会拉长 RTO</t>
        </is>
      </c>
      <c r="I11" s="31" t="inlineStr">
        <is>
          <t>7</t>
        </is>
      </c>
      <c r="J11" s="31" t="inlineStr">
        <is>
          <t>控制台</t>
        </is>
      </c>
      <c r="K11" s="31" t="inlineStr">
        <is>
          <t>D3</t>
        </is>
      </c>
      <c r="L11" s="31" t="inlineStr">
        <is>
          <t>人员A</t>
        </is>
      </c>
      <c r="M11" s="31" t="inlineStr">
        <is>
          <t>冷备会牺牲 RTO（秒级 → 分钟级）；接管容量验收见 M4</t>
        </is>
      </c>
    </row>
    <row r="12" ht="14.25" customHeight="1" s="11">
      <c r="A12" s="5" t="inlineStr">
        <is>
          <t>9</t>
        </is>
      </c>
      <c r="B12" s="5" t="inlineStr">
        <is>
          <t>数据</t>
        </is>
      </c>
      <c r="C12" s="5" t="inlineStr">
        <is>
          <t>RDS PostgreSQL</t>
        </is>
      </c>
      <c r="D12" s="5" t="inlineStr">
        <is>
          <t>—</t>
        </is>
      </c>
      <c r="E12" s="5" t="inlineStr">
        <is>
          <t>0</t>
        </is>
      </c>
      <c r="F12" s="5" t="inlineStr">
        <is>
          <t>—</t>
        </is>
      </c>
      <c r="G12" s="5" t="inlineStr">
        <is>
          <t>新加坡</t>
        </is>
      </c>
      <c r="H12" s="5" t="inlineStr">
        <is>
          <t>【不部署】备 region 直接使用马尼拉 RDS 的公网地址</t>
        </is>
      </c>
      <c r="I12" s="5" t="inlineStr">
        <is>
          <t>—</t>
        </is>
      </c>
      <c r="J12" s="5" t="inlineStr">
        <is>
          <t>—</t>
        </is>
      </c>
      <c r="K12" s="5" t="inlineStr">
        <is>
          <t>—</t>
        </is>
      </c>
      <c r="L12" s="5" t="inlineStr">
        <is>
          <t>人员B</t>
        </is>
      </c>
      <c r="M12" s="5" t="inlineStr">
        <is>
          <t>红线：禁止本地库、只读副本、DTS 双向链路</t>
        </is>
      </c>
    </row>
    <row r="13" ht="14.25" customHeight="1" s="11">
      <c r="A13" s="31" t="inlineStr">
        <is>
          <t>10</t>
        </is>
      </c>
      <c r="B13" s="31" t="inlineStr">
        <is>
          <t>数据</t>
        </is>
      </c>
      <c r="C13" s="31" t="inlineStr">
        <is>
          <t>RDS 公网白名单</t>
        </is>
      </c>
      <c r="D13" s="31" t="inlineStr">
        <is>
          <t>—</t>
        </is>
      </c>
      <c r="E13" s="31" t="n">
        <v>1</v>
      </c>
      <c r="F13" s="31" t="inlineStr">
        <is>
          <t>—</t>
        </is>
      </c>
      <c r="G13" s="31" t="inlineStr">
        <is>
          <t>马尼拉 RDS</t>
        </is>
      </c>
      <c r="H13" s="31" t="inlineStr">
        <is>
          <t>仅加入新加坡 NAT EIP；仅开放 5432；应用侧 sslmode=verify-full + RDS CA 校验</t>
        </is>
      </c>
      <c r="I13" s="31" t="inlineStr">
        <is>
          <t>3,14(马尼拉)</t>
        </is>
      </c>
      <c r="J13" s="31" t="inlineStr">
        <is>
          <t>控制台</t>
        </is>
      </c>
      <c r="K13" s="31" t="inlineStr">
        <is>
          <t>D2</t>
        </is>
      </c>
      <c r="L13" s="31" t="inlineStr">
        <is>
          <t>人员B</t>
        </is>
      </c>
      <c r="M13" s="31" t="inlineStr">
        <is>
          <t>连接串不得出现 sslmode=disable / require</t>
        </is>
      </c>
    </row>
    <row r="14" ht="14.25" customHeight="1" s="11">
      <c r="A14" s="5" t="inlineStr">
        <is>
          <t>11</t>
        </is>
      </c>
      <c r="B14" s="5" t="inlineStr">
        <is>
          <t>缓存</t>
        </is>
      </c>
      <c r="C14" s="5" t="inlineStr">
        <is>
          <t>Tair（Redis 兼容）</t>
        </is>
      </c>
      <c r="D14" s="5" t="inlineStr">
        <is>
          <t>主备版 4 GB</t>
        </is>
      </c>
      <c r="E14" s="5" t="n">
        <v>1</v>
      </c>
      <c r="F14" s="5" t="inlineStr">
        <is>
          <t>tair-sg-newapi</t>
        </is>
      </c>
      <c r="G14" s="5" t="inlineStr">
        <is>
          <t>多可用区</t>
        </is>
      </c>
      <c r="H14" s="5" t="inlineStr">
        <is>
          <t>备 region 本地缓存与限流；不跨区访问马尼拉 Tair</t>
        </is>
      </c>
      <c r="I14" s="5" t="inlineStr">
        <is>
          <t>1</t>
        </is>
      </c>
      <c r="J14" s="5" t="inlineStr">
        <is>
          <t>控制台</t>
        </is>
      </c>
      <c r="K14" s="5" t="inlineStr">
        <is>
          <t>D4</t>
        </is>
      </c>
      <c r="L14" s="5" t="inlineStr">
        <is>
          <t>人员B</t>
        </is>
      </c>
      <c r="M14" s="5" t="inlineStr">
        <is>
          <t>跨区缓存会放大延迟与故障面</t>
        </is>
      </c>
    </row>
    <row r="15" ht="14.25" customHeight="1" s="11">
      <c r="A15" s="31" t="inlineStr">
        <is>
          <t>12</t>
        </is>
      </c>
      <c r="B15" s="31" t="inlineStr">
        <is>
          <t>日志</t>
        </is>
      </c>
      <c r="C15" s="31" t="inlineStr">
        <is>
          <t>云数据库 ClickHouse</t>
        </is>
      </c>
      <c r="D15" s="31" t="inlineStr">
        <is>
          <t>【不部署】并入马尼拉 ClickHouse 企业版单 AZ（F9）</t>
        </is>
      </c>
      <c r="E15" s="31" t="n">
        <v>1</v>
      </c>
      <c r="F15" s="31" t="inlineStr">
        <is>
          <t>ck-sg-newapi</t>
        </is>
      </c>
      <c r="G15" s="31" t="inlineStr">
        <is>
          <t>新加坡</t>
        </is>
      </c>
      <c r="H15" s="31" t="inlineStr">
        <is>
          <t>**【不部署】F9 修订：备 region 日志库并入马尼拉 ClickHouse 企业版单 AZ**，不再购买新加坡 CK</t>
        </is>
      </c>
      <c r="I15" s="31" t="inlineStr">
        <is>
          <t>1</t>
        </is>
      </c>
      <c r="J15" s="31" t="inlineStr">
        <is>
          <t>控制台</t>
        </is>
      </c>
      <c r="K15" s="31" t="inlineStr">
        <is>
          <t>D4</t>
        </is>
      </c>
      <c r="L15" s="31" t="inlineStr">
        <is>
          <t>人员B</t>
        </is>
      </c>
      <c r="M15" s="31" t="inlineStr">
        <is>
          <t>原「备 region 本地日志库」口径已作废（F9）；2026-10-09 复核更正：马尼拉 CK 已有 PUBLIC 端点（43.118.97.47）+ 白名单组 sg_eip 含新加坡 4 个 SNAT EIP，备站跨区写已实测通过（任务 29 执行记录 6；与「资源清单-马尼拉」H21 一致）⇒ 原「待裁定」闭合</t>
        </is>
      </c>
    </row>
    <row r="16" ht="14.25" customHeight="1" s="11">
      <c r="A16" s="5" t="inlineStr">
        <is>
          <t>13</t>
        </is>
      </c>
      <c r="B16" s="5" t="inlineStr">
        <is>
          <t>存储</t>
        </is>
      </c>
      <c r="C16" s="5" t="inlineStr">
        <is>
          <t>OSS Bucket</t>
        </is>
      </c>
      <c r="D16" s="5" t="inlineStr">
        <is>
          <t>标准 + 低频生命周期</t>
        </is>
      </c>
      <c r="E16" s="5" t="n">
        <v>1</v>
      </c>
      <c r="F16" s="5" t="inlineStr">
        <is>
          <t>oss-newapi-sg</t>
        </is>
      </c>
      <c r="G16" s="5" t="inlineStr">
        <is>
          <t>新加坡</t>
        </is>
      </c>
      <c r="H16" s="5" t="inlineStr">
        <is>
          <t>版本控制 + 90 天转归档</t>
        </is>
      </c>
      <c r="I16" s="5" t="inlineStr">
        <is>
          <t>1</t>
        </is>
      </c>
      <c r="J16" s="5" t="inlineStr">
        <is>
          <t>控制台</t>
        </is>
      </c>
      <c r="K16" s="5" t="inlineStr">
        <is>
          <t>D1</t>
        </is>
      </c>
      <c r="L16" s="5" t="inlineStr">
        <is>
          <t>人员B</t>
        </is>
      </c>
      <c r="M16" s="5" t="inlineStr">
        <is>
          <t>DCDN 回源可指向本 bucket</t>
        </is>
      </c>
    </row>
    <row r="17" ht="14.25" customHeight="1" s="11">
      <c r="A17" s="31" t="inlineStr">
        <is>
          <t>14</t>
        </is>
      </c>
      <c r="B17" s="31" t="inlineStr">
        <is>
          <t>安全</t>
        </is>
      </c>
      <c r="C17" s="31" t="inlineStr">
        <is>
          <t>安全组</t>
        </is>
      </c>
      <c r="D17" s="31" t="inlineStr">
        <is>
          <t>—</t>
        </is>
      </c>
      <c r="E17" s="31" t="inlineStr">
        <is>
          <t>—</t>
        </is>
      </c>
      <c r="F17" s="31" t="inlineStr">
        <is>
          <t>sg-sg-alb / sg-sg-app</t>
        </is>
      </c>
      <c r="G17" s="31" t="inlineStr">
        <is>
          <t>新加坡</t>
        </is>
      </c>
      <c r="H17" s="31" t="inlineStr">
        <is>
          <t>alb 入向 80,443（443 已于 2026-10-12 落地并验收：lsn-iqn5i233mvv7eu4u6w + 证书 Associated）；app 入向 3000 仅来自 alb-sg；app 出向允许访问马尼拉 RDS **公网 6432（经托管池，2026-09-29 裁定② 乙路）**；跨区 TLS 用 verify-full + sslrootcert（Secret rds-ca-apse6 挂 /etc/ssl/rds）</t>
        </is>
      </c>
      <c r="I17" s="31" t="inlineStr">
        <is>
          <t>2,10</t>
        </is>
      </c>
      <c r="J17" s="31" t="inlineStr">
        <is>
          <t>控制台</t>
        </is>
      </c>
      <c r="K17" s="31" t="inlineStr">
        <is>
          <t>D3</t>
        </is>
      </c>
      <c r="L17" s="31" t="inlineStr">
        <is>
          <t>人员A</t>
        </is>
      </c>
      <c r="M17" s="31" t="inlineStr">
        <is>
          <t>出向按目的地址精确放行</t>
        </is>
      </c>
    </row>
    <row r="18" ht="28.5" customHeight="1" s="11">
      <c r="A18" s="5" t="inlineStr">
        <is>
          <t>15</t>
        </is>
      </c>
      <c r="B18" s="5" t="inlineStr">
        <is>
          <t>工作负载</t>
        </is>
      </c>
      <c r="C18" s="5" t="inlineStr">
        <is>
          <t>PH 备 Deployment</t>
        </is>
      </c>
      <c r="D18" s="5" t="inlineStr">
        <is>
          <t>—</t>
        </is>
      </c>
      <c r="E18" s="5" t="n">
        <v>1</v>
      </c>
      <c r="F18" s="5" t="inlineStr">
        <is>
          <t>new-api-ph-standby</t>
        </is>
      </c>
      <c r="G18" s="5" t="inlineStr">
        <is>
          <t>跨 2 个可用区</t>
        </is>
      </c>
      <c r="H18" s="5" t="inlineStr">
        <is>
          <t>replicas=2（常态，热备）；NODE_TYPE=slave；track=standby；site=ph；**Pod 内 SQL_MAX_OPEN_CONNS=10 / SQL_MAX_IDLE_CONNS=5（由 Deployment env 覆盖 CM 的 100/50，实测 env &gt; envFrom）**；HPA min 2 / max **20**</t>
        </is>
      </c>
      <c r="I18" s="5" t="inlineStr">
        <is>
          <t>7,11</t>
        </is>
      </c>
      <c r="J18" s="5" t="inlineStr">
        <is>
          <t>GitOps</t>
        </is>
      </c>
      <c r="K18" s="5" t="inlineStr">
        <is>
          <t>D3</t>
        </is>
      </c>
      <c r="L18" s="5" t="inlineStr">
        <is>
          <t>人员B</t>
        </is>
      </c>
      <c r="M18" s="5" t="inlineStr">
        <is>
          <t>必须固定 slave，避免与马尼拉 master 并发迁移同一 schema；HPA 上限 20 = 主站 maxReplicas 13 × 1.5（19.5 上取整）</t>
        </is>
      </c>
    </row>
    <row r="19" ht="14.25" customHeight="1" s="11">
      <c r="A19" s="31" t="inlineStr">
        <is>
          <t>16</t>
        </is>
      </c>
      <c r="B19" s="31" t="inlineStr">
        <is>
          <t>工作负载</t>
        </is>
      </c>
      <c r="C19" s="31" t="inlineStr">
        <is>
          <t>备 region Secret</t>
        </is>
      </c>
      <c r="D19" s="31" t="inlineStr">
        <is>
          <t>—</t>
        </is>
      </c>
      <c r="E19" s="31" t="n">
        <v>1</v>
      </c>
      <c r="F19" s="31" t="inlineStr">
        <is>
          <t>new-api-secret-sg-ph</t>
        </is>
      </c>
      <c r="G19" s="31" t="inlineStr">
        <is>
          <t>新加坡</t>
        </is>
      </c>
      <c r="H19" s="31" t="inlineStr">
        <is>
          <t>SQL_DSN 指向马尼拉 RDS 公网地址；SESSION_SECRET 与主站点完全一致</t>
        </is>
      </c>
      <c r="I19" s="31" t="inlineStr">
        <is>
          <t>20(马尼拉)</t>
        </is>
      </c>
      <c r="J19" s="31" t="inlineStr">
        <is>
          <t>GitOps</t>
        </is>
      </c>
      <c r="K19" s="31" t="inlineStr">
        <is>
          <t>D3</t>
        </is>
      </c>
      <c r="L19" s="31" t="inlineStr">
        <is>
          <t>人员B</t>
        </is>
      </c>
      <c r="M19" s="31" t="inlineStr">
        <is>
          <t>同 SESSION_SECRET 保证接管瞬间会话与令牌不失效；轮换走双密钥过渡</t>
        </is>
      </c>
    </row>
    <row r="20" ht="14.25" customHeight="1" s="11">
      <c r="A20" s="5" t="inlineStr">
        <is>
          <t>17</t>
        </is>
      </c>
      <c r="B20" s="5" t="inlineStr">
        <is>
          <t>观测</t>
        </is>
      </c>
      <c r="C20" s="5" t="inlineStr">
        <is>
          <t>SLS / ARMS 接入</t>
        </is>
      </c>
      <c r="D20" s="5" t="inlineStr">
        <is>
          <t>按量</t>
        </is>
      </c>
      <c r="E20" s="5" t="n">
        <v>1</v>
      </c>
      <c r="F20" s="5" t="inlineStr">
        <is>
          <t>sls-newapi-sg / arms-newapi-sg</t>
        </is>
      </c>
      <c r="G20" s="5" t="inlineStr">
        <is>
          <t>新加坡</t>
        </is>
      </c>
      <c r="H20" s="5" t="inlineStr">
        <is>
          <t>与应用同构采集；备 region 日志单独 LogStore</t>
        </is>
      </c>
      <c r="I20" s="5" t="inlineStr">
        <is>
          <t>7</t>
        </is>
      </c>
      <c r="J20" s="5" t="inlineStr">
        <is>
          <t>控制台</t>
        </is>
      </c>
      <c r="K20" s="5" t="inlineStr">
        <is>
          <t>D4</t>
        </is>
      </c>
      <c r="L20" s="5" t="inlineStr">
        <is>
          <t>人员A</t>
        </is>
      </c>
      <c r="M20" s="5" t="inlineStr">
        <is>
          <t>告警通道复用主站点值班表</t>
        </is>
      </c>
    </row>
    <row r="21" ht="14.25" customHeight="1" s="11">
      <c r="A21" s="31" t="inlineStr">
        <is>
          <t>18</t>
        </is>
      </c>
      <c r="B21" s="31" t="inlineStr">
        <is>
          <t>观测</t>
        </is>
      </c>
      <c r="C21" s="31" t="inlineStr">
        <is>
          <t>备 region 链路拨测</t>
        </is>
      </c>
      <c r="D21" s="31" t="inlineStr">
        <is>
          <t>按量</t>
        </is>
      </c>
      <c r="E21" s="31" t="n">
        <v>1</v>
      </c>
      <c r="F21" s="31" t="inlineStr">
        <is>
          <t>—</t>
        </is>
      </c>
      <c r="G21" s="31" t="inlineStr">
        <is>
          <t>新加坡 → 马尼拉</t>
        </is>
      </c>
      <c r="H21" s="31" t="inlineStr">
        <is>
          <t>对马尼拉 RDS 公网地址做 TCP 拨测：RTT、连接失败率、连接数占比</t>
        </is>
      </c>
      <c r="I21" s="31" t="inlineStr">
        <is>
          <t>10</t>
        </is>
      </c>
      <c r="J21" s="31" t="inlineStr">
        <is>
          <t>控制台</t>
        </is>
      </c>
      <c r="K21" s="31" t="inlineStr">
        <is>
          <t>D4</t>
        </is>
      </c>
      <c r="L21" s="31" t="inlineStr">
        <is>
          <t>人员B</t>
        </is>
      </c>
      <c r="M21" s="31" t="inlineStr">
        <is>
          <t>链路不健康时必须阻止 GTM 接管到备 region</t>
        </is>
      </c>
    </row>
    <row r="22" ht="28.5" customHeight="1" s="11">
      <c r="A22" s="5" t="inlineStr">
        <is>
          <t>19</t>
        </is>
      </c>
      <c r="B22" s="5" t="inlineStr">
        <is>
          <t>计算</t>
        </is>
      </c>
      <c r="C22" s="5" t="inlineStr">
        <is>
          <t>节点池自动伸缩（ACK 托管弹性组件 ack-goatscaler）</t>
        </is>
      </c>
      <c r="D22" s="5" t="inlineStr">
        <is>
          <t>—</t>
        </is>
      </c>
      <c r="E22" s="5" t="n">
        <v>1</v>
      </c>
      <c r="F22" s="5" t="inlineStr">
        <is>
          <t>—（无独立资源；状态在 cm/kube-system/autoscaler-meta）</t>
        </is>
      </c>
      <c r="G22" s="5" t="inlineStr">
        <is>
          <t>新加坡</t>
        </is>
      </c>
      <c r="H22" s="5" t="inlineStr">
        <is>
          <t>min 2 / max 12（实况配额 96 vCPU）；支撑备 region 20 副本接管（40 vCPU 需求 + ≥20% 系统组件余量 ⇒ 容量下限 8 节点 / 64 vCPU）</t>
        </is>
      </c>
      <c r="I22" s="5" t="inlineStr">
        <is>
          <t>7</t>
        </is>
      </c>
      <c r="J22" s="5" t="inlineStr">
        <is>
          <t>GitOps</t>
        </is>
      </c>
      <c r="K22" s="5" t="inlineStr">
        <is>
          <t>D4</t>
        </is>
      </c>
      <c r="L22" s="5" t="inlineStr">
        <is>
          <t>人员A</t>
        </is>
      </c>
      <c r="M22" s="5" t="inlineStr">
        <is>
          <t>实批按量配额 96 vCPU（见账号与域名申请 #7）；本期不含泰国备，故未按双站点接管的 96 vCPU 申请</t>
        </is>
      </c>
    </row>
    <row r="23" ht="14.25" customHeight="1" s="11">
      <c r="A23" s="5" t="inlineStr">
        <is>
          <t>20</t>
        </is>
      </c>
      <c r="B23" s="5" t="inlineStr">
        <is>
          <t>工作负载</t>
        </is>
      </c>
      <c r="C23" s="5" t="inlineStr">
        <is>
          <t>PH 备 HPA</t>
        </is>
      </c>
      <c r="D23" s="5" t="inlineStr">
        <is>
          <t>—</t>
        </is>
      </c>
      <c r="E23" s="5" t="n">
        <v>1</v>
      </c>
      <c r="F23" s="5" t="inlineStr">
        <is>
          <t>hpa-new-api-ph-standby</t>
        </is>
      </c>
      <c r="G23" s="5" t="inlineStr">
        <is>
          <t>新加坡</t>
        </is>
      </c>
      <c r="H23" s="5" t="inlineStr">
        <is>
          <t>min 2 / max **20**；Pod request 2 vCPU；接管前先扩容再切流（扩容 → Ready → 加入 GTM）</t>
        </is>
      </c>
      <c r="I23" s="5" t="inlineStr">
        <is>
          <t>18,19</t>
        </is>
      </c>
      <c r="J23" s="5" t="inlineStr">
        <is>
          <t>GitOps</t>
        </is>
      </c>
      <c r="K23" s="5" t="inlineStr">
        <is>
          <t>D5</t>
        </is>
      </c>
      <c r="L23" s="5" t="inlineStr">
        <is>
          <t>人员B</t>
        </is>
      </c>
      <c r="M23" s="5" t="inlineStr">
        <is>
          <t>满足「单站点全量接管 = 被接管站点 maxReplicas **13** × 1.5 = 19.5 → **20 副本**」</t>
        </is>
      </c>
    </row>
    <row r="24" ht="14.25" customHeight="1" s="1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 ht="66" customHeight="1" s="11">
      <c r="A25" s="32" t="inlineStr">
        <is>
          <t>重申红线：
新加坡【不部署 RDS PostgreSQL】（含只读副本与 DTS）。备 region 仅通过公网 TLS（verify-full + IP 白名单）读写马尼拉主库，仅故障接管时生效，不做双写。staging / perf 环境位于马尼拉主站点（主站 RDS 的逻辑隔离 schema），不构成对本红线的例外。
【容量要求】备 region 可扩容上限 = 被接管站点 maxReplicas 13 × 1.5 = 19.5 → **20 副本**（常备 2 副本 + HPA 2–20 + 节点池自动伸缩 2–12，实况配额 96 vCPU）。
【分期口径】本期新加坡仅承载 PH 备、不含泰国备；二期引入 TH 备时须重算节点池上限（两地同时接管需 48 副本 / 96 vCPU，含 ≥20% 余量即 ≥16 节点 / 128 vCPU）并重新申请配额。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9" t="n"/>
    </row>
  </sheetData>
  <autoFilter ref="A3:M23"/>
  <mergeCells count="2">
    <mergeCell ref="A25:M25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tabSelected="1" topLeftCell="A27" workbookViewId="0">
      <selection activeCell="F25" sqref="F25"/>
    </sheetView>
  </sheetViews>
  <sheetFormatPr baseColWidth="8" defaultColWidth="9" defaultRowHeight="13.5"/>
  <cols>
    <col width="21.5" customWidth="1" style="11" min="1" max="1"/>
    <col width="20" customWidth="1" style="11" min="2" max="2"/>
    <col width="18" customWidth="1" style="11" min="3" max="3"/>
    <col width="34" customWidth="1" style="11" min="4" max="4"/>
    <col width="38.125" customWidth="1" style="11" min="5" max="5"/>
    <col width="50.125" customWidth="1" style="11" min="6" max="6"/>
  </cols>
  <sheetData>
    <row r="1" ht="24" customHeight="1" s="11">
      <c r="A1" s="26" t="inlineStr">
        <is>
          <t>网络、安全组、EIP 与凭据规划（v2.1 修订版）</t>
        </is>
      </c>
    </row>
    <row r="3" ht="14.25" customHeight="1" s="11">
      <c r="A3" s="19" t="inlineStr">
        <is>
          <t>站点</t>
        </is>
      </c>
      <c r="B3" s="19" t="inlineStr">
        <is>
          <t>地域 / 可用区</t>
        </is>
      </c>
      <c r="C3" s="19" t="inlineStr">
        <is>
          <t>资源</t>
        </is>
      </c>
      <c r="D3" s="19" t="inlineStr">
        <is>
          <t>规划值</t>
        </is>
      </c>
      <c r="E3" s="19" t="inlineStr">
        <is>
          <t>用途 / 说明</t>
        </is>
      </c>
      <c r="F3" s="19" t="inlineStr">
        <is>
          <t>备注</t>
        </is>
      </c>
    </row>
    <row r="4" ht="14.25" customHeight="1" s="11">
      <c r="A4" s="17" t="inlineStr">
        <is>
          <t>马尼拉</t>
        </is>
      </c>
      <c r="B4" s="17" t="inlineStr">
        <is>
          <t>ap-southeast-6</t>
        </is>
      </c>
      <c r="C4" s="17" t="inlineStr">
        <is>
          <t>VPC CIDR</t>
        </is>
      </c>
      <c r="D4" s="17" t="inlineStr">
        <is>
          <t>vpc-newapi-mnl-prod 10.0.0.0/16</t>
        </is>
      </c>
      <c r="E4" s="16" t="inlineStr">
        <is>
          <t>菲律宾主站点网络</t>
        </is>
      </c>
      <c r="F4" s="16" t="inlineStr">
        <is>
          <t>与新加坡不重叠</t>
        </is>
      </c>
    </row>
    <row r="5" ht="14.25" customHeight="1" s="11">
      <c r="A5" s="17" t="inlineStr">
        <is>
          <t>马尼拉</t>
        </is>
      </c>
      <c r="B5" s="17" t="inlineStr">
        <is>
          <t>可用区 A</t>
        </is>
      </c>
      <c r="C5" s="17" t="inlineStr">
        <is>
          <t>vSwitch</t>
        </is>
      </c>
      <c r="D5" s="17" t="inlineStr">
        <is>
          <t>vsw-mnl-pub-a 10.0.0.0/24</t>
        </is>
      </c>
      <c r="E5" s="16" t="inlineStr">
        <is>
          <t>ALB 公共子网</t>
        </is>
      </c>
      <c r="F5" s="16" t="inlineStr">
        <is>
          <t>—</t>
        </is>
      </c>
    </row>
    <row r="6" ht="14.25" customHeight="1" s="11">
      <c r="A6" s="17" t="inlineStr">
        <is>
          <t>马尼拉</t>
        </is>
      </c>
      <c r="B6" s="17" t="inlineStr">
        <is>
          <t>可用区 B</t>
        </is>
      </c>
      <c r="C6" s="17" t="inlineStr">
        <is>
          <t>vSwitch</t>
        </is>
      </c>
      <c r="D6" s="17" t="inlineStr">
        <is>
          <t>vsw-mnl-pub-b 10.0.1.0/24</t>
        </is>
      </c>
      <c r="E6" s="16" t="inlineStr">
        <is>
          <t>ALB 公共子网</t>
        </is>
      </c>
      <c r="F6" s="16" t="inlineStr">
        <is>
          <t>多可用区</t>
        </is>
      </c>
    </row>
    <row r="7" ht="14.25" customHeight="1" s="11">
      <c r="A7" s="17" t="inlineStr">
        <is>
          <t>马尼拉</t>
        </is>
      </c>
      <c r="B7" s="17" t="inlineStr">
        <is>
          <t>可用区 A</t>
        </is>
      </c>
      <c r="C7" s="17" t="inlineStr">
        <is>
          <t>vSwitch</t>
        </is>
      </c>
      <c r="D7" s="17" t="inlineStr">
        <is>
          <t>vsw-mnl-app-a 10.0.16.0/20</t>
        </is>
      </c>
      <c r="E7" s="16" t="inlineStr">
        <is>
          <t>ACK Pod 私有子网</t>
        </is>
      </c>
      <c r="F7" s="16" t="inlineStr">
        <is>
          <t>—</t>
        </is>
      </c>
    </row>
    <row r="8" ht="14.25" customHeight="1" s="11">
      <c r="A8" s="17" t="inlineStr">
        <is>
          <t>马尼拉</t>
        </is>
      </c>
      <c r="B8" s="17" t="inlineStr">
        <is>
          <t>可用区 B</t>
        </is>
      </c>
      <c r="C8" s="17" t="inlineStr">
        <is>
          <t>vSwitch</t>
        </is>
      </c>
      <c r="D8" s="17" t="inlineStr">
        <is>
          <t>vsw-mnl-app-b 10.0.32.0/20</t>
        </is>
      </c>
      <c r="E8" s="16" t="inlineStr">
        <is>
          <t>ACK Pod 私有子网</t>
        </is>
      </c>
      <c r="F8" s="16" t="inlineStr">
        <is>
          <t>—</t>
        </is>
      </c>
    </row>
    <row r="9" ht="14.25" customHeight="1" s="11">
      <c r="A9" s="17" t="inlineStr">
        <is>
          <t>马尼拉</t>
        </is>
      </c>
      <c r="B9" s="17" t="inlineStr">
        <is>
          <t>可用区 A</t>
        </is>
      </c>
      <c r="C9" s="17" t="inlineStr">
        <is>
          <t>vSwitch</t>
        </is>
      </c>
      <c r="D9" s="17" t="inlineStr">
        <is>
          <t>vsw-mnl-data-a 10.0.48.0/20</t>
        </is>
      </c>
      <c r="E9" s="16" t="inlineStr">
        <is>
          <t>RDS / Tair / ClickHouse</t>
        </is>
      </c>
      <c r="F9" s="16" t="inlineStr">
        <is>
          <t>数据库不暴露公网子网</t>
        </is>
      </c>
    </row>
    <row r="10" ht="14.25" customHeight="1" s="11">
      <c r="A10" s="17" t="inlineStr">
        <is>
          <t>马尼拉</t>
        </is>
      </c>
      <c r="B10" s="17" t="inlineStr">
        <is>
          <t>可用区 B</t>
        </is>
      </c>
      <c r="C10" s="17" t="inlineStr">
        <is>
          <t>vSwitch</t>
        </is>
      </c>
      <c r="D10" s="17" t="inlineStr">
        <is>
          <t>vsw-mnl-data-b 10.0.64.0/20</t>
        </is>
      </c>
      <c r="E10" s="16" t="inlineStr">
        <is>
          <t>RDS 备实例</t>
        </is>
      </c>
      <c r="F10" s="16" t="inlineStr">
        <is>
          <t>主备跨可用区</t>
        </is>
      </c>
    </row>
    <row r="11" ht="14.25" customHeight="1" s="11">
      <c r="A11" s="17" t="inlineStr">
        <is>
          <t>新加坡</t>
        </is>
      </c>
      <c r="B11" s="17" t="inlineStr">
        <is>
          <t>ap-southeast-1</t>
        </is>
      </c>
      <c r="C11" s="17" t="inlineStr">
        <is>
          <t>VPC CIDR</t>
        </is>
      </c>
      <c r="D11" s="17" t="inlineStr">
        <is>
          <t>vpc-newapi-sg-prod 10.1.0.0/16</t>
        </is>
      </c>
      <c r="E11" s="16" t="inlineStr">
        <is>
          <t>备 region 网络（数据库段已按偏移预留、未挂实例）</t>
        </is>
      </c>
      <c r="F11" s="16" t="inlineStr">
        <is>
          <t>与马尼拉不重叠</t>
        </is>
      </c>
    </row>
    <row r="12" ht="14.25" customHeight="1" s="11">
      <c r="A12" s="17" t="inlineStr">
        <is>
          <t>新加坡</t>
        </is>
      </c>
      <c r="B12" s="17" t="inlineStr">
        <is>
          <t>可用区 A</t>
        </is>
      </c>
      <c r="C12" s="17" t="inlineStr">
        <is>
          <t>vSwitch</t>
        </is>
      </c>
      <c r="D12" s="17" t="inlineStr">
        <is>
          <t>vsw-sg-pub-a 10.1.0.0/24</t>
        </is>
      </c>
      <c r="E12" s="16" t="inlineStr">
        <is>
          <t>ALB 与 NAT</t>
        </is>
      </c>
      <c r="F12" s="16" t="inlineStr">
        <is>
          <t>—；实测 vsw-t4ncxa4gqgamhl0o8e6yq / ap-southeast-1a / 可用 IP 251</t>
        </is>
      </c>
    </row>
    <row r="13" ht="28.5" customHeight="1" s="11">
      <c r="A13" s="17" t="inlineStr">
        <is>
          <t>新加坡</t>
        </is>
      </c>
      <c r="B13" s="17" t="inlineStr">
        <is>
          <t>可用区 B</t>
        </is>
      </c>
      <c r="C13" s="17" t="inlineStr">
        <is>
          <t>vSwitch</t>
        </is>
      </c>
      <c r="D13" s="17" t="inlineStr">
        <is>
          <t>vsw-sg-pub-b 10.1.1.0/24</t>
        </is>
      </c>
      <c r="E13" s="16" t="inlineStr">
        <is>
          <t>ALB 公共子网（第 2 可用区）</t>
        </is>
      </c>
      <c r="F13" s="16" t="inlineStr">
        <is>
          <t>ALB 需跨 2 个可用区，原 v2.0 表缺失本行（已补）；实测 vsw-t4nhtsfk2z79e1ggvlhdz / ap-southeast-1b / 可用 IP 252</t>
        </is>
      </c>
    </row>
    <row r="14" ht="14.25" customHeight="1" s="11">
      <c r="A14" s="17" t="inlineStr">
        <is>
          <t>新加坡</t>
        </is>
      </c>
      <c r="B14" s="17" t="inlineStr">
        <is>
          <t>可用区 A</t>
        </is>
      </c>
      <c r="C14" s="17" t="inlineStr">
        <is>
          <t>vSwitch</t>
        </is>
      </c>
      <c r="D14" s="17" t="inlineStr">
        <is>
          <t>vsw-sg-app-a 10.1.16.0/20</t>
        </is>
      </c>
      <c r="E14" s="16" t="inlineStr">
        <is>
          <t>PH 备 Pod</t>
        </is>
      </c>
      <c r="F14" s="16" t="inlineStr">
        <is>
          <t>—；实测 vsw-t4nbvsnvo4z52sumr9sck / ap-southeast-1a / 可用 IP 4073（已用 19，节点与 Pod 在此段）</t>
        </is>
      </c>
    </row>
    <row r="15" ht="14.25" customHeight="1" s="11">
      <c r="A15" s="17" t="inlineStr">
        <is>
          <t>新加坡</t>
        </is>
      </c>
      <c r="B15" s="17" t="inlineStr">
        <is>
          <t>可用区 B</t>
        </is>
      </c>
      <c r="C15" s="17" t="inlineStr">
        <is>
          <t>vSwitch</t>
        </is>
      </c>
      <c r="D15" s="17" t="inlineStr">
        <is>
          <t>vsw-sg-app-b 10.1.32.0/20</t>
        </is>
      </c>
      <c r="E15" s="16" t="inlineStr">
        <is>
          <t>PH 备 Pod</t>
        </is>
      </c>
      <c r="F15" s="16" t="inlineStr">
        <is>
          <t>跨 2 个可用区；实测 vsw-t4n3dthz1ma6tp7bqor6h / ap-southeast-1b / 可用 IP 4084（已用 8）</t>
        </is>
      </c>
    </row>
    <row r="16" ht="14.25" customHeight="1" s="11">
      <c r="A16" s="17" t="inlineStr">
        <is>
          <t>新加坡</t>
        </is>
      </c>
      <c r="B16" s="17" t="inlineStr">
        <is>
          <t>可用区 C</t>
        </is>
      </c>
      <c r="C16" s="17" t="inlineStr">
        <is>
          <t>vSwitch</t>
        </is>
      </c>
      <c r="D16" s="17" t="inlineStr">
        <is>
          <t>vsw-sg-app-c 10.1.80.0/20</t>
        </is>
      </c>
      <c r="E16" s="16" t="inlineStr">
        <is>
          <t>PH 备 Pod</t>
        </is>
      </c>
      <c r="F16" s="16" t="inlineStr">
        <is>
          <t>2026-10-08 建成：vsw-t4n2e0pkpxymjxkwvcuu6 / ap-southeast-1c / Available / 可用 IP 4092（.80 槽位，尾部追加约定）</t>
        </is>
      </c>
    </row>
    <row r="17" ht="14.25" customHeight="1" s="11">
      <c r="A17" s="17" t="inlineStr">
        <is>
          <t>新加坡</t>
        </is>
      </c>
      <c r="B17" s="17" t="inlineStr">
        <is>
          <t>可用区 D</t>
        </is>
      </c>
      <c r="C17" s="17" t="inlineStr">
        <is>
          <t>vSwitch</t>
        </is>
      </c>
      <c r="D17" s="17" t="inlineStr">
        <is>
          <t>vsw-sg-app-d 10.1.96.0/20</t>
        </is>
      </c>
      <c r="E17" s="16" t="inlineStr">
        <is>
          <t>PH 备 Pod</t>
        </is>
      </c>
      <c r="F17" s="16" t="inlineStr">
        <is>
          <t>2026-10-08 建成：vsw-t4n4vw9aj22wyppbbec9w / ap-southeast-1d / Available / 可用 IP 4092</t>
        </is>
      </c>
    </row>
    <row r="18" ht="28.5" customHeight="1" s="11">
      <c r="A18" s="17" t="inlineStr">
        <is>
          <t>新加坡</t>
        </is>
      </c>
      <c r="B18" s="17" t="inlineStr">
        <is>
          <t>可用区 A</t>
        </is>
      </c>
      <c r="C18" s="17" t="inlineStr">
        <is>
          <t>vSwitch</t>
        </is>
      </c>
      <c r="D18" s="17" t="inlineStr">
        <is>
          <t>vsw-sg-data-a 10.1.48.0/20</t>
        </is>
      </c>
      <c r="E18" s="16" t="inlineStr">
        <is>
          <t>RDS / Tair 私有子网</t>
        </is>
      </c>
      <c r="F18" s="16" t="inlineStr">
        <is>
          <t>2026-09-30 按控制台实测补录（原表缺本行）：vsw-t4nr26kz6gceuz0jm4eqw / ap-southeast-1a / Available，可用 IP 4092 = 段内零实例，属预留段</t>
        </is>
      </c>
    </row>
    <row r="19" ht="28.5" customHeight="1" s="11">
      <c r="A19" s="17" t="inlineStr">
        <is>
          <t>新加坡</t>
        </is>
      </c>
      <c r="B19" s="17" t="inlineStr">
        <is>
          <t>可用区 B</t>
        </is>
      </c>
      <c r="C19" s="17" t="inlineStr">
        <is>
          <t>vSwitch</t>
        </is>
      </c>
      <c r="D19" s="17" t="inlineStr">
        <is>
          <t>vsw-sg-data-b 10.1.64.0/20</t>
        </is>
      </c>
      <c r="E19" s="16" t="inlineStr">
        <is>
          <t>RDS 备实例候选段</t>
        </is>
      </c>
      <c r="F19" s="16" t="inlineStr">
        <is>
          <t>同上实测补录：vsw-t4n58d6u3iws49o2xovdi / ap-southeast-1b / Available，可用 IP 4092 = 零实例；偏移与马尼拉 vsw-mnl-data-b 同槽</t>
        </is>
      </c>
    </row>
    <row r="20" ht="28.5" customHeight="1" s="11">
      <c r="A20" s="17" t="inlineStr">
        <is>
          <t>新加坡</t>
        </is>
      </c>
      <c r="B20" s="17" t="inlineStr">
        <is>
          <t>可用区 C</t>
        </is>
      </c>
      <c r="C20" s="17" t="inlineStr">
        <is>
          <t>vSwitch</t>
        </is>
      </c>
      <c r="D20" s="17" t="inlineStr">
        <is>
          <t>vsw-sg-data-c 10.1.112.0/20</t>
        </is>
      </c>
      <c r="E20" s="16" t="inlineStr">
        <is>
          <t>RDS / Tair 私有子网</t>
        </is>
      </c>
      <c r="F20" s="16" t="inlineStr">
        <is>
          <t>2026-10-08 建成：vsw-t4nvuo2yxtftipp8vo9rn / ap-southeast-1c / Available / 可用 IP 4092；暂不挂实例</t>
        </is>
      </c>
    </row>
    <row r="21" ht="28.5" customHeight="1" s="11">
      <c r="A21" s="17" t="inlineStr">
        <is>
          <t>新加坡</t>
        </is>
      </c>
      <c r="B21" s="17" t="inlineStr">
        <is>
          <t>可用区 D</t>
        </is>
      </c>
      <c r="C21" s="17" t="inlineStr">
        <is>
          <t>vSwitch</t>
        </is>
      </c>
      <c r="D21" s="17" t="inlineStr">
        <is>
          <t>vsw-sg-data-d 10.1.128.0/20</t>
        </is>
      </c>
      <c r="E21" s="16" t="inlineStr">
        <is>
          <t>RDS 备实例候选段</t>
        </is>
      </c>
      <c r="F21" s="16" t="inlineStr">
        <is>
          <t>2026-10-08 建成：vsw-t4nmsubaz3tim6vur8j0g / ap-southeast-1d / Available / 可用 IP 4092；暂不挂实例</t>
        </is>
      </c>
    </row>
    <row r="22" ht="28.5" customHeight="1" s="11">
      <c r="A22" s="17" t="inlineStr">
        <is>
          <t>雅加达 dev</t>
        </is>
      </c>
      <c r="B22" s="17" t="inlineStr">
        <is>
          <t>ap-southeast-5</t>
        </is>
      </c>
      <c r="C22" s="17" t="inlineStr">
        <is>
          <t>VPC CIDR</t>
        </is>
      </c>
      <c r="D22" s="17" t="inlineStr">
        <is>
          <t>vpc-newapi-jkt-dev 10.2.0.0/16</t>
        </is>
      </c>
      <c r="E22" s="16" t="inlineStr">
        <is>
          <t>dev/test 独立站点网络（环境隔离修订 方案 A）</t>
        </is>
      </c>
      <c r="F22" s="16" t="inlineStr">
        <is>
          <t>与马尼拉 10.0.0.0/16、新加坡 10.1.0.0/16 不重叠；vpc-k1ano67avx98nr3n1bg5d / Available；命名对齐生产形态 vpc-newapi-&lt;站点&gt;-&lt;环境&gt;</t>
        </is>
      </c>
    </row>
    <row r="23" ht="28.5" customHeight="1" s="11">
      <c r="A23" s="17" t="inlineStr">
        <is>
          <t>雅加达 dev</t>
        </is>
      </c>
      <c r="B23" s="17" t="inlineStr">
        <is>
          <t>可用区 5a</t>
        </is>
      </c>
      <c r="C23" s="17" t="inlineStr">
        <is>
          <t>vSwitch</t>
        </is>
      </c>
      <c r="D23" s="17" t="inlineStr">
        <is>
          <t>vsw-jkt-dev-pub-5a 10.2.0.0/24</t>
        </is>
      </c>
      <c r="E23" s="16" t="inlineStr">
        <is>
          <t>ALB 公共子网</t>
        </is>
      </c>
      <c r="F23" s="16" t="inlineStr">
        <is>
          <t>与马尼拉 vsw-mnl-pub-a、新加坡 vsw-sg-pub-a 同槽（.0/.1）；ALB 需跨 2 个可用区。2026-09-30 偏移对齐重建：vsw-k1at4vt7fg8v4umkh9lg3</t>
        </is>
      </c>
    </row>
    <row r="24" ht="28.5" customHeight="1" s="11">
      <c r="A24" s="17" t="inlineStr">
        <is>
          <t>雅加达 dev</t>
        </is>
      </c>
      <c r="B24" s="17" t="inlineStr">
        <is>
          <t>可用区 5b</t>
        </is>
      </c>
      <c r="C24" s="17" t="inlineStr">
        <is>
          <t>vSwitch</t>
        </is>
      </c>
      <c r="D24" s="17" t="inlineStr">
        <is>
          <t>vsw-jkt-dev-pub-5b 10.2.1.0/24</t>
        </is>
      </c>
      <c r="E24" s="16" t="inlineStr">
        <is>
          <t>ALB 公共子网</t>
        </is>
      </c>
      <c r="F24" s="16" t="inlineStr">
        <is>
          <t>第 2 可用区入口段。偏移对齐重建：vsw-k1aqa1ose29nuq92hcvyt</t>
        </is>
      </c>
    </row>
    <row r="25" ht="28.5" customHeight="1" s="11">
      <c r="A25" s="17" t="inlineStr">
        <is>
          <t>雅加达 dev</t>
        </is>
      </c>
      <c r="B25" s="17" t="inlineStr">
        <is>
          <t>可用区 5a</t>
        </is>
      </c>
      <c r="C25" s="17" t="inlineStr">
        <is>
          <t>vSwitch</t>
        </is>
      </c>
      <c r="D25" s="17" t="inlineStr">
        <is>
          <t>vsw-jkt-dev-app-5a 10.2.16.0/20</t>
        </is>
      </c>
      <c r="E25" s="16" t="inlineStr">
        <is>
          <t>ACK 节点子网</t>
        </is>
      </c>
      <c r="F25" s="16" t="inlineStr">
        <is>
          <t>Terway ENIIP 下 Pod IP 直接取自本段，整段必须进 dev RDS 白名单；与马尼拉 vsw-mnl-app-a 同槽。偏移对齐重建：vsw-k1agmhxtf974bmzbjlnkp</t>
        </is>
      </c>
    </row>
    <row r="26" ht="15" customHeight="1" s="11">
      <c r="A26" s="17" t="inlineStr">
        <is>
          <t>雅加达 dev</t>
        </is>
      </c>
      <c r="B26" s="17" t="inlineStr">
        <is>
          <t>可用区 5b</t>
        </is>
      </c>
      <c r="C26" s="17" t="inlineStr">
        <is>
          <t>vSwitch</t>
        </is>
      </c>
      <c r="D26" s="17" t="inlineStr">
        <is>
          <t>vsw-jkt-dev-app-5b 10.2.32.0/20</t>
        </is>
      </c>
      <c r="E26" s="16" t="inlineStr">
        <is>
          <t>ACK 节点子网</t>
        </is>
      </c>
      <c r="F26" s="16" t="inlineStr">
        <is>
          <t>节点池跨 2 个可用区（新加坡坑 A：AzBalance）；白名单来源段。偏移对齐重建：vsw-k1aoupd0er378rku728d3</t>
        </is>
      </c>
    </row>
    <row r="27" ht="14.25" customHeight="1" s="11">
      <c r="A27" s="17" t="inlineStr">
        <is>
          <t>雅加达 dev</t>
        </is>
      </c>
      <c r="B27" s="17" t="inlineStr">
        <is>
          <t>可用区 5c</t>
        </is>
      </c>
      <c r="C27" s="17" t="inlineStr">
        <is>
          <t>vSwitch</t>
        </is>
      </c>
      <c r="D27" s="17" t="inlineStr">
        <is>
          <t>vsw-jkt-dev-app-5c 10.2.80.0/20</t>
        </is>
      </c>
      <c r="E27" s="16" t="inlineStr">
        <is>
          <t>ACK 节点子网（第 3 可用区）</t>
        </is>
      </c>
      <c r="F27" s="16" t="inlineStr">
        <is>
          <t>第 3 可用区扩展段（雅加达实测 3 个 AZ，生产两站点仅 2 个，故统一追加在尾部）；白名单来源段。偏移对齐重建：vsw-k1an7x32b5qjtsmklelkt</t>
        </is>
      </c>
    </row>
    <row r="28" ht="28.5" customHeight="1" s="11">
      <c r="A28" s="17" t="inlineStr">
        <is>
          <t>雅加达 dev</t>
        </is>
      </c>
      <c r="B28" s="17" t="inlineStr">
        <is>
          <t>可用区 5a</t>
        </is>
      </c>
      <c r="C28" s="17" t="inlineStr">
        <is>
          <t>vSwitch</t>
        </is>
      </c>
      <c r="D28" s="17" t="inlineStr">
        <is>
          <t>vsw-jkt-dev-data-5a 10.2.48.0/20</t>
        </is>
      </c>
      <c r="E28" s="16" t="inlineStr">
        <is>
          <t>RDS / Tair 私有子网</t>
        </is>
      </c>
      <c r="F28" s="16" t="inlineStr">
        <is>
          <t>dev RDS PostgreSQL 17.0 主实例与 Tair 绑定此段，数据库不分配公网地址；与马尼拉 vsw-mnl-data-a 同槽，RDS DryRun 已按本段通过。偏移对齐重建：vsw-k1a9u8pkwwkc6z0x6g0kc</t>
        </is>
      </c>
    </row>
    <row r="29" ht="14.25" customHeight="1" s="11">
      <c r="A29" s="17" t="inlineStr">
        <is>
          <t>雅加达 dev</t>
        </is>
      </c>
      <c r="B29" s="17" t="inlineStr">
        <is>
          <t>可用区 5b</t>
        </is>
      </c>
      <c r="C29" s="17" t="inlineStr">
        <is>
          <t>vSwitch</t>
        </is>
      </c>
      <c r="D29" s="17" t="inlineStr">
        <is>
          <t>vsw-jkt-dev-data-5b 10.2.64.0/20</t>
        </is>
      </c>
      <c r="E29" s="16" t="inlineStr">
        <is>
          <t>RDS / Tair 私有子网</t>
        </is>
      </c>
      <c r="F29" s="16" t="inlineStr">
        <is>
          <t>多可用区/备实例候选段，主备跨 AZ 时用；与马尼拉 vsw-mnl-data-b 同槽。偏移对齐重建：vsw-k1auat3gn6iagfg7by4sz</t>
        </is>
      </c>
    </row>
    <row r="30" ht="14.25" customHeight="1" s="11">
      <c r="A30" s="18" t="inlineStr">
        <is>
          <t>EIP 规划（本次出口直出上游，不启用 GA；白名单 = 下列 8 个 EIP）</t>
        </is>
      </c>
    </row>
    <row r="31" ht="28.5" customHeight="1" s="11">
      <c r="A31" s="19" t="inlineStr">
        <is>
          <t>站点</t>
        </is>
      </c>
      <c r="B31" s="19" t="inlineStr">
        <is>
          <t>用途</t>
        </is>
      </c>
      <c r="C31" s="19" t="inlineStr">
        <is>
          <t>数量</t>
        </is>
      </c>
      <c r="D31" s="19" t="inlineStr">
        <is>
          <t>绑定对象</t>
        </is>
      </c>
      <c r="E31" s="19" t="inlineStr">
        <is>
          <t>说明</t>
        </is>
      </c>
      <c r="F31" s="19" t="inlineStr">
        <is>
          <t>备注</t>
        </is>
      </c>
    </row>
    <row r="32">
      <c r="A32" s="17" t="inlineStr">
        <is>
          <t>马尼拉</t>
        </is>
      </c>
      <c r="B32" s="17" t="inlineStr">
        <is>
          <t>上游出口白名单池</t>
        </is>
      </c>
      <c r="C32" s="17" t="n">
        <v>4</v>
      </c>
      <c r="D32" s="17" t="inlineStr">
        <is>
          <t>NAT 网关</t>
        </is>
      </c>
      <c r="E32" s="16" t="inlineStr">
        <is>
          <t>提交给 OpenAI / Anthropic / Google / Azure / AWS 等供应商做 IP 白名单（马尼拉 4 个 + 新加坡 4 个，共 8 个，须逐一确认生效）</t>
        </is>
      </c>
      <c r="F32" s="16" t="inlineStr">
        <is>
          <t>同一池用于上游白名单；本次不启用 GA（GA 为二期可选优化）</t>
        </is>
      </c>
    </row>
    <row r="33" ht="15" customHeight="1" s="11">
      <c r="A33" s="17" t="inlineStr">
        <is>
          <t>马尼拉</t>
        </is>
      </c>
      <c r="B33" s="17" t="inlineStr">
        <is>
          <t>ALB 公网地址</t>
        </is>
      </c>
      <c r="C33" s="17" t="n">
        <v>1</v>
      </c>
      <c r="D33" s="17" t="inlineStr">
        <is>
          <t>ALB</t>
        </is>
      </c>
      <c r="E33" s="16" t="inlineStr">
        <is>
          <t>由 ALB 自动分配，用于 GTM 地址池与 DNS 解析</t>
        </is>
      </c>
      <c r="F33" s="16" t="inlineStr">
        <is>
          <t>—</t>
        </is>
      </c>
    </row>
    <row r="34" ht="14.25" customHeight="1" s="11">
      <c r="A34" s="17" t="inlineStr">
        <is>
          <t>新加坡</t>
        </is>
      </c>
      <c r="B34" s="17" t="inlineStr">
        <is>
          <t>上游出口 + RDS 白名单池</t>
        </is>
      </c>
      <c r="C34" s="17" t="n">
        <v>4</v>
      </c>
      <c r="D34" s="17" t="inlineStr">
        <is>
          <t>NAT 网关</t>
        </is>
      </c>
      <c r="E34" s="16" t="inlineStr">
        <is>
          <t>既用于供应商白名单，也必须加入马尼拉 RDS 公网白名单</t>
        </is>
      </c>
      <c r="F34" s="16" t="inlineStr">
        <is>
          <t>仅放行该 EIP，禁止 0.0.0.0/0</t>
        </is>
      </c>
    </row>
    <row r="35" ht="42.75" customHeight="1" s="11">
      <c r="A35" s="17" t="inlineStr">
        <is>
          <t>雅加达 dev</t>
        </is>
      </c>
      <c r="B35" s="17" t="inlineStr">
        <is>
          <t>dev 出网（跨区拉镜像 / 上游 mock）</t>
        </is>
      </c>
      <c r="C35" s="17" t="inlineStr">
        <is>
          <t>1（已建）</t>
        </is>
      </c>
      <c r="D35" s="17" t="inlineStr">
        <is>
          <t>NAT 网关 + EIP</t>
        </is>
      </c>
      <c r="E35" s="16" t="inlineStr">
        <is>
          <t>已建成：NAT 网关 ngw-k1aij9gqb72y38kl31vd2（Enhanced，落 pub-5a vsw-k1at4vt7fg8v4umkh9lg3）+ EIP eip-k1ans4dqvvci8x4jx1fx3 = 147.139.170.11（5Mbps PayByTraffic）；SNAT 条目 snat-k1acb22kut2qkwgdx4iub 覆盖 10.2.0.0/16；默认路由 rte-k1akjm3rkrdd62p55brnn 0.0.0.0/0→NatGateway 由系统随 NAT 自动下发。节点内实测出网公网 IP 即该 EIP。</t>
        </is>
      </c>
      <c r="F35" s="16" t="inlineStr">
        <is>
          <t>禁止并入生产 8 个 EIP 的上游 / RDS 白名单池。NAT 上线使 10.2.0.0/16 首次获得公网可达性，生产 RDS 公网端点由「路由不可达」变为「仅靠安全组拦截」，故已把 43.118.96.65/32 的出向规则由 drop TCP 5432 收紧为 drop ALL（见下方安全组段）。</t>
        </is>
      </c>
    </row>
    <row r="36" ht="14.25" customHeight="1" s="11"/>
    <row r="37" ht="14.25" customHeight="1" s="11">
      <c r="A37" s="18" t="inlineStr">
        <is>
          <t>安全组规则（最小开放原则；对端 CIDR 收敛。**⚠ 2026-10-06 定稿例外：ALB 入向保持 0.0.0.0/0 :80,443 不收敛** —— WAF 3.0 走云原生 SDK 接入而非透明代理，未匹配 Host 由 Ingress 规则/catchall 兜底，直连 ALB 公网 IP 属已裁定接受项（任务 47）。⚠ 2026-10-12 F15：WAF 本轮不采购 ⇒ 该例外失去前置 L7 防护层，实际兜底只剩 alb-access 审计 + Ingress Host/catchall + 应用 360/180s 限流；是否改用 ALB ACL 收敛重开为待裁定（任务 47 追加登记 ⑥）</t>
        </is>
      </c>
    </row>
    <row r="38" ht="28.5" customHeight="1" s="11">
      <c r="A38" s="19" t="inlineStr">
        <is>
          <t>站点</t>
        </is>
      </c>
      <c r="B38" s="19" t="inlineStr">
        <is>
          <t>安全组</t>
        </is>
      </c>
      <c r="C38" s="19" t="inlineStr">
        <is>
          <t>方向</t>
        </is>
      </c>
      <c r="D38" s="19" t="inlineStr">
        <is>
          <t>协议 / 端口</t>
        </is>
      </c>
      <c r="E38" s="19" t="inlineStr">
        <is>
          <t>源 / 目的</t>
        </is>
      </c>
      <c r="F38" s="19" t="inlineStr">
        <is>
          <t>说明</t>
        </is>
      </c>
    </row>
    <row r="39" ht="42.75" customHeight="1" s="11">
      <c r="A39" s="17" t="inlineStr">
        <is>
          <t>马尼拉</t>
        </is>
      </c>
      <c r="B39" s="17" t="inlineStr">
        <is>
          <t>sg-mnl-alb</t>
        </is>
      </c>
      <c r="C39" s="17" t="inlineStr">
        <is>
          <t>入</t>
        </is>
      </c>
      <c r="D39" s="17" t="inlineStr">
        <is>
          <t>TCP 443 / 80</t>
        </is>
      </c>
      <c r="E39" s="16" t="inlineStr">
        <is>
          <t>实况（2026-10-06 裁定）：**保持 0.0.0.0/0 :80,443 不收敛**（WAF 3.0 走云原生接入，待任务 20）；原「仅放行 WAF/DCDN 回源段」的收敛方案不执行</t>
        </is>
      </c>
      <c r="F39" s="16" t="inlineStr">
        <is>
          <t>未匹配 Host 已由 Ingress/new-api-catchall-404 兜底 404（任务 47）；80 仅用于 301 跳转 HTTPS</t>
        </is>
      </c>
    </row>
    <row r="40" ht="28.5" customHeight="1" s="11">
      <c r="A40" s="17" t="inlineStr">
        <is>
          <t>马尼拉</t>
        </is>
      </c>
      <c r="B40" s="17" t="inlineStr">
        <is>
          <t>sg-mnl-app</t>
        </is>
      </c>
      <c r="C40" s="17" t="inlineStr">
        <is>
          <t>入</t>
        </is>
      </c>
      <c r="D40" s="17" t="inlineStr">
        <is>
          <t>TCP 3000</t>
        </is>
      </c>
      <c r="E40" s="16" t="inlineStr">
        <is>
          <t>sg-mnl-alb</t>
        </is>
      </c>
      <c r="F40" s="16" t="inlineStr">
        <is>
          <t>仅 ALB 可访问 Pod，禁止内网其他来源</t>
        </is>
      </c>
    </row>
    <row r="41" ht="23" customHeight="1" s="11">
      <c r="A41" s="17" t="inlineStr">
        <is>
          <t>马尼拉</t>
        </is>
      </c>
      <c r="B41" s="17" t="inlineStr">
        <is>
          <t>sg-mnl-app</t>
        </is>
      </c>
      <c r="C41" s="17" t="inlineStr">
        <is>
          <t>出</t>
        </is>
      </c>
      <c r="D41" s="17" t="inlineStr">
        <is>
          <t>TCP 5432 / 6379 / 9000</t>
        </is>
      </c>
      <c r="E41" s="16" t="inlineStr">
        <is>
          <t>sg-mnl-db</t>
        </is>
      </c>
      <c r="F41" s="16" t="inlineStr">
        <is>
          <t>访问 RDS、Tair、ClickHouse</t>
        </is>
      </c>
    </row>
    <row r="42" ht="28.5" customHeight="1" s="11">
      <c r="A42" s="17" t="inlineStr">
        <is>
          <t>马尼拉</t>
        </is>
      </c>
      <c r="B42" s="17" t="inlineStr">
        <is>
          <t>sg-mnl-app</t>
        </is>
      </c>
      <c r="C42" s="17" t="inlineStr">
        <is>
          <t>出</t>
        </is>
      </c>
      <c r="D42" s="17" t="inlineStr">
        <is>
          <t>TCP 443</t>
        </is>
      </c>
      <c r="E42" s="16" t="inlineStr">
        <is>
          <t>0.0.0.0/0 经 NAT 网关出网</t>
        </is>
      </c>
      <c r="F42" s="16" t="inlineStr">
        <is>
          <t>企业私有子网访问外部 AI 供应商的必要放通，风险由目的地址与出向限速约束</t>
        </is>
      </c>
    </row>
    <row r="43" ht="14.25" customHeight="1" s="11">
      <c r="A43" s="17" t="inlineStr">
        <is>
          <t>马尼拉</t>
        </is>
      </c>
      <c r="B43" s="17" t="inlineStr">
        <is>
          <t>sg-mnl-db</t>
        </is>
      </c>
      <c r="C43" s="17" t="inlineStr">
        <is>
          <t>入</t>
        </is>
      </c>
      <c r="D43" s="17" t="inlineStr">
        <is>
          <t>TCP 5432</t>
        </is>
      </c>
      <c r="E43" s="16" t="inlineStr">
        <is>
          <t>sg-mnl-app、10.1.0.0/16</t>
        </is>
      </c>
      <c r="F43" s="16" t="inlineStr">
        <is>
          <t>主站点走内网；备 region 跨 VPC 无法以安全组表达，实际生效源由 RDS 公网白名单二次收敛为新加坡 NAT EIP</t>
        </is>
      </c>
    </row>
    <row r="44" ht="28.5" customHeight="1" s="11">
      <c r="A44" s="27" t="inlineStr">
        <is>
          <t>马尼拉</t>
        </is>
      </c>
      <c r="B44" s="27" t="inlineStr">
        <is>
          <t>sg-mnl-alb-edge</t>
        </is>
      </c>
      <c r="C44" s="27" t="inlineStr">
        <is>
          <t>入</t>
        </is>
      </c>
      <c r="D44" s="27" t="inlineStr">
        <is>
          <t>TCP 22 / 443</t>
        </is>
      </c>
      <c r="E44" s="28" t="inlineStr">
        <is>
          <t>企业办公出口 IP 段</t>
        </is>
      </c>
      <c r="F44" s="28" t="inlineStr">
        <is>
          <t>堡垒机 / VPN 入口（运维访问面）；禁止 0.0.0.0/0</t>
        </is>
      </c>
    </row>
    <row r="45" ht="14.25" customHeight="1" s="11">
      <c r="A45" s="27" t="inlineStr">
        <is>
          <t>马尼拉</t>
        </is>
      </c>
      <c r="B45" s="27" t="inlineStr">
        <is>
          <t>sg-mnl-ack-api</t>
        </is>
      </c>
      <c r="C45" s="27" t="inlineStr">
        <is>
          <t>入</t>
        </is>
      </c>
      <c r="D45" s="27" t="inlineStr">
        <is>
          <t>TCP 6443</t>
        </is>
      </c>
      <c r="E45" s="28" t="inlineStr">
        <is>
          <t>企业办公出口 IP 段</t>
        </is>
      </c>
      <c r="F45" s="28" t="inlineStr">
        <is>
          <t>ACK API Server：关闭公网端点或加 ACL 白名单</t>
        </is>
      </c>
    </row>
    <row r="46" ht="28.5" customHeight="1" s="11">
      <c r="A46" s="17" t="inlineStr">
        <is>
          <t>新加坡</t>
        </is>
      </c>
      <c r="B46" s="17" t="inlineStr">
        <is>
          <t>sg-sg-alb</t>
        </is>
      </c>
      <c r="C46" s="17" t="inlineStr">
        <is>
          <t>入</t>
        </is>
      </c>
      <c r="D46" s="17" t="inlineStr">
        <is>
          <t>TCP 443 / 80</t>
        </is>
      </c>
      <c r="E46" s="16" t="inlineStr">
        <is>
          <t>实况（2026-10-06 裁定，与马尼拉同口径）：保持 0.0.0.0/0 :80,443 不收敛；2026-10-12 两地 ALB 443 已落地；⚠ 2026-10-12 F15：任务 20 裁定不执行 ⇒ 不收敛再无 WAF 缓解（原括注「WAF 3.0 云原生 SDK 接入，待任务 20」作废），与主站同列待裁定</t>
        </is>
      </c>
      <c r="F46" s="16" t="inlineStr">
        <is>
          <t>GTM 接管时的备 region 入口；与主站点同口径不收敛（2026-10-06 裁定；原「禁止 0.0.0.0/0」作废）</t>
        </is>
      </c>
    </row>
    <row r="47" ht="28.5" customHeight="1" s="11">
      <c r="A47" s="17" t="inlineStr">
        <is>
          <t>新加坡</t>
        </is>
      </c>
      <c r="B47" s="17" t="inlineStr">
        <is>
          <t>sg-sg-app</t>
        </is>
      </c>
      <c r="C47" s="17" t="inlineStr">
        <is>
          <t>入</t>
        </is>
      </c>
      <c r="D47" s="17" t="inlineStr">
        <is>
          <t>TCP 3000</t>
        </is>
      </c>
      <c r="E47" s="16" t="inlineStr">
        <is>
          <t>sg-sg-alb</t>
        </is>
      </c>
      <c r="F47" s="16" t="inlineStr">
        <is>
          <t>与主站点一致</t>
        </is>
      </c>
    </row>
    <row r="48" ht="28.5" customHeight="1" s="11">
      <c r="A48" s="17" t="inlineStr">
        <is>
          <t>新加坡</t>
        </is>
      </c>
      <c r="B48" s="17" t="inlineStr">
        <is>
          <t>sg-sg-app</t>
        </is>
      </c>
      <c r="C48" s="17" t="inlineStr">
        <is>
          <t>出</t>
        </is>
      </c>
      <c r="D48" s="17" t="inlineStr">
        <is>
          <t>TCP 5432</t>
        </is>
      </c>
      <c r="E48" s="16" t="inlineStr">
        <is>
          <t>马尼拉 RDS 公网 IP /32，**端口 6432（经托管池）**</t>
        </is>
      </c>
      <c r="F48" s="16" t="inlineStr">
        <is>
          <t>sg-sg-app 实测为 normal 类型、出向默认放行 ⇒ 无需额外写规则；仅接管期写入，强制 TLS verify-full</t>
        </is>
      </c>
    </row>
    <row r="49" ht="28.5" customHeight="1" s="11">
      <c r="A49" s="17" t="inlineStr">
        <is>
          <t>新加坡</t>
        </is>
      </c>
      <c r="B49" s="17" t="inlineStr">
        <is>
          <t>sg-sg-app</t>
        </is>
      </c>
      <c r="C49" s="17" t="inlineStr">
        <is>
          <t>出</t>
        </is>
      </c>
      <c r="D49" s="17" t="inlineStr">
        <is>
          <t>TCP 443</t>
        </is>
      </c>
      <c r="E49" s="16" t="inlineStr">
        <is>
          <t>0.0.0.0/0 经 NAT 网关出网</t>
        </is>
      </c>
      <c r="F49" s="16" t="inlineStr">
        <is>
          <t>接管期调用上游 AI 供应商</t>
        </is>
      </c>
    </row>
    <row r="50" ht="28.5" customHeight="1" s="11">
      <c r="A50" s="17" t="inlineStr">
        <is>
          <t>雅加达 dev</t>
        </is>
      </c>
      <c r="B50" s="17" t="inlineStr">
        <is>
          <t>sg-jkt-dev-app</t>
        </is>
      </c>
      <c r="C50" s="17" t="inlineStr">
        <is>
          <t>出</t>
        </is>
      </c>
      <c r="D50" s="17" t="inlineStr">
        <is>
          <t>drop ALL -1/-1（优先级 1）</t>
        </is>
      </c>
      <c r="E50" s="16" t="inlineStr">
        <is>
          <t>10.0.0.0/16（马尼拉生产 VPC）</t>
        </is>
      </c>
      <c r="F50" s="16" t="inlineStr">
        <is>
          <t>已生效：拒绝优先于 normal 安全组的默认全放通，dev 节点 / Pod 无法访问生产 VPC 内任意地址</t>
        </is>
      </c>
    </row>
    <row r="51" ht="28.5" customHeight="1" s="11">
      <c r="A51" s="17" t="inlineStr">
        <is>
          <t>雅加达 dev</t>
        </is>
      </c>
      <c r="B51" s="17" t="inlineStr">
        <is>
          <t>sg-jkt-dev-app</t>
        </is>
      </c>
      <c r="C51" s="17" t="inlineStr">
        <is>
          <t>出</t>
        </is>
      </c>
      <c r="D51" s="17" t="inlineStr">
        <is>
          <t>drop ALL -1/-1（优先级 1）</t>
        </is>
      </c>
      <c r="E51" s="16" t="inlineStr">
        <is>
          <t>10.1.0.0/16（新加坡备 VPC）</t>
        </is>
      </c>
      <c r="F51" s="16" t="inlineStr">
        <is>
          <t>已生效：同上，备 region 亦不可达；生产 apiserver 6443 / 10250 顺带被阻断（验收 V11）</t>
        </is>
      </c>
    </row>
    <row r="52">
      <c r="A52" s="17" t="inlineStr">
        <is>
          <t>雅加达 dev</t>
        </is>
      </c>
      <c r="B52" s="17" t="inlineStr">
        <is>
          <t>sg-jkt-dev-app</t>
        </is>
      </c>
      <c r="C52" s="17" t="inlineStr">
        <is>
          <t>出</t>
        </is>
      </c>
      <c r="D52" s="17" t="inlineStr">
        <is>
          <t>drop ALL -1/-1 + drop TCP 5432（优先级 1）</t>
        </is>
      </c>
      <c r="E52" s="16" t="inlineStr">
        <is>
          <t>43.118.96.65/32（生产 RDS 公网 IP）</t>
        </is>
      </c>
      <c r="F52" s="16" t="inlineStr">
        <is>
          <t>已生效：堵住 dev 直连生产库公网入口这条最现实的数据外泄路径（验收 V1 实测 BLOCKED）。2026-09-30 随 NAT 上线追加 drop ALL（覆盖全部端口），原 drop TCP 5432 保留作双保险；出向规则数由 7 条增至 8 条。</t>
        </is>
      </c>
    </row>
    <row r="53" ht="15" customHeight="1" s="11">
      <c r="A53" s="17" t="inlineStr">
        <is>
          <t>雅加达 dev</t>
        </is>
      </c>
      <c r="B53" s="17" t="inlineStr">
        <is>
          <t>sg-jkt-dev-app</t>
        </is>
      </c>
      <c r="C53" s="17" t="inlineStr">
        <is>
          <t>出</t>
        </is>
      </c>
      <c r="D53" s="17" t="inlineStr">
        <is>
          <t>accept TCP 443（优先级 10）</t>
        </is>
      </c>
      <c r="E53" s="16" t="inlineStr">
        <is>
          <t>0.0.0.0/0，经 dev 自有 NAT 出网</t>
        </is>
      </c>
      <c r="F53" s="16" t="inlineStr">
        <is>
          <t>已生效：跨区拉镜像与上游调用只放行 443，不做全协议放通；目的侧再由生产 ACL 二次收敛</t>
        </is>
      </c>
    </row>
    <row r="54" ht="14.25" customHeight="1" s="11">
      <c r="A54" s="17" t="inlineStr">
        <is>
          <t>雅加达 dev</t>
        </is>
      </c>
      <c r="B54" s="17" t="inlineStr">
        <is>
          <t>sg-jkt-dev-app</t>
        </is>
      </c>
      <c r="C54" s="17" t="inlineStr">
        <is>
          <t>出</t>
        </is>
      </c>
      <c r="D54" s="17" t="inlineStr">
        <is>
          <t>accept UDP 53（优先级 10 / 20）</t>
        </is>
      </c>
      <c r="E54" s="16" t="inlineStr">
        <is>
          <t>100.100.2.136/32、100.100.2.138/32，兜底 0.0.0.0/0</t>
        </is>
      </c>
      <c r="F54" s="16" t="inlineStr">
        <is>
          <t>已生效：VPC 内网 DNS 优先，ACR / RDS 等内网 endpoint 解析依赖此项</t>
        </is>
      </c>
    </row>
    <row r="55" ht="28.5" customHeight="1" s="11">
      <c r="A55" s="17" t="inlineStr">
        <is>
          <t>雅加达 dev</t>
        </is>
      </c>
      <c r="B55" s="17" t="inlineStr">
        <is>
          <t>sg-jkt-dev-app</t>
        </is>
      </c>
      <c r="C55" s="17" t="inlineStr">
        <is>
          <t>入</t>
        </is>
      </c>
      <c r="D55" s="17" t="inlineStr">
        <is>
          <t>无自定义规则（保持默认）</t>
        </is>
      </c>
      <c r="E55" s="16" t="inlineStr">
        <is>
          <t>—</t>
        </is>
      </c>
      <c r="F55" s="16" t="inlineStr">
        <is>
          <t>入向仅组内互通；生产侧安全组、生产 RDS 白名单、生产 ACR EE 公网 ACL 均未因本次改动（见 jakarta_dev_ledger §3）</t>
        </is>
      </c>
    </row>
    <row r="56" ht="14.25" customHeight="1" s="11"/>
    <row r="57" ht="42.75" customHeight="1" s="11">
      <c r="A57" s="18" t="inlineStr">
        <is>
          <t>凭据与密钥（2026-10-05 裁定不使用 KMS：手工 Opaque Secret 注入，禁止落库落 Git）</t>
        </is>
      </c>
    </row>
    <row r="58" ht="28.5" customHeight="1" s="11">
      <c r="A58" s="19" t="inlineStr">
        <is>
          <t>凭据</t>
        </is>
      </c>
      <c r="B58" s="19" t="inlineStr">
        <is>
          <t>载体</t>
        </is>
      </c>
      <c r="C58" s="19" t="inlineStr">
        <is>
          <t>使用方</t>
        </is>
      </c>
      <c r="D58" s="19" t="inlineStr">
        <is>
          <t>轮换周期</t>
        </is>
      </c>
      <c r="E58" s="19" t="inlineStr">
        <is>
          <t>说明</t>
        </is>
      </c>
      <c r="F58" s="19" t="inlineStr">
        <is>
          <t>备注</t>
        </is>
      </c>
    </row>
    <row r="59" ht="28.5" customHeight="1" s="11">
      <c r="A59" s="17" t="inlineStr">
        <is>
          <t>SQL_DSN</t>
        </is>
      </c>
      <c r="B59" s="17" t="inlineStr">
        <is>
          <t>K8s Opaque Secret（手工注入）</t>
        </is>
      </c>
      <c r="C59" s="17" t="inlineStr">
        <is>
          <t>马尼拉 / 新加坡备应用</t>
        </is>
      </c>
      <c r="D59" s="17" t="inlineStr">
        <is>
          <t>90 天</t>
        </is>
      </c>
      <c r="E59" s="16" t="inlineStr">
        <is>
          <t>含数据库账号密码；备 region 使用公网地址 + verify-full（SG 侧已切 verify-full + sslrootcert=/etc/ssl/rds/ca.crt）</t>
        </is>
      </c>
      <c r="F59" s="16" t="inlineStr">
        <is>
          <t>轮换需两站点同步；经 PgBouncer 时 DSN 指向池地址</t>
        </is>
      </c>
    </row>
    <row r="60">
      <c r="A60" s="17" t="inlineStr">
        <is>
          <t>REDIS_CONN_STRING</t>
        </is>
      </c>
      <c r="B60" s="17" t="inlineStr">
        <is>
          <t>K8s Opaque Secret（手工注入）</t>
        </is>
      </c>
      <c r="C60" s="17" t="inlineStr">
        <is>
          <t>马尼拉 / 新加坡备应用</t>
        </is>
      </c>
      <c r="D60" s="17" t="inlineStr">
        <is>
          <t>90 天</t>
        </is>
      </c>
      <c r="E60" s="16" t="inlineStr">
        <is>
          <t>Tair 连接串</t>
        </is>
      </c>
      <c r="F60" s="16" t="inlineStr">
        <is>
          <t>各站点使用各自实例</t>
        </is>
      </c>
    </row>
    <row r="61" ht="14.25" customHeight="1" s="11">
      <c r="A61" s="17" t="inlineStr">
        <is>
          <t>SESSION_SECRET</t>
        </is>
      </c>
      <c r="B61" s="17" t="inlineStr">
        <is>
          <t>K8s Opaque Secret（手工注入）</t>
        </is>
      </c>
      <c r="C61" s="17" t="inlineStr">
        <is>
          <t>全部站点</t>
        </is>
      </c>
      <c r="D61" s="17" t="inlineStr">
        <is>
          <t>180 天（双密钥过渡）</t>
        </is>
      </c>
      <c r="E61" s="16" t="inlineStr">
        <is>
          <t>必须全区域全实例一致</t>
        </is>
      </c>
      <c r="F61" s="16" t="inlineStr">
        <is>
          <t>不一致会导致切换后会话全部失效；必须支持新旧密钥并存过渡，否则轮换即全量会话失效（任务 #55）</t>
        </is>
      </c>
    </row>
    <row r="62" ht="42.75" customHeight="1" s="11">
      <c r="A62" s="17" t="inlineStr">
        <is>
          <t>RDS CA 证书（已落 Secret rds-ca-apse6）</t>
        </is>
      </c>
      <c r="B62" s="17" t="inlineStr">
        <is>
          <t>K8s Secret rds-ca-apse6 → 挂载 /etc/ssl/rds/ca.crt</t>
        </is>
      </c>
      <c r="C62" s="17" t="inlineStr">
        <is>
          <t>新加坡备 region</t>
        </is>
      </c>
      <c r="D62" s="17" t="inlineStr">
        <is>
          <t>随证书更新</t>
        </is>
      </c>
      <c r="E62" s="16" t="inlineStr">
        <is>
          <t>用于 sslmode=verify-full 校验</t>
        </is>
      </c>
      <c r="F62" s="16" t="inlineStr">
        <is>
          <t>禁止使用 require/disable</t>
        </is>
      </c>
    </row>
    <row r="63" ht="40.5" customHeight="1" s="11">
      <c r="A63" s="17" t="inlineStr">
        <is>
          <t>支付渠道密钥</t>
        </is>
      </c>
      <c r="B63" s="17" t="inlineStr">
        <is>
          <t>K8s Opaque Secret（手工注入）</t>
        </is>
      </c>
      <c r="C63" s="17" t="inlineStr">
        <is>
          <t>马尼拉应用</t>
        </is>
      </c>
      <c r="D63" s="17" t="inlineStr">
        <is>
          <t>按渠道要求</t>
        </is>
      </c>
      <c r="E63" s="16" t="inlineStr">
        <is>
          <t>支付回调与退款</t>
        </is>
      </c>
      <c r="F63" s="16" t="inlineStr">
        <is>
          <t>回调路径需在 WAF 放行，并限定支付渠道源 IP 段 + 强制签名校验</t>
        </is>
      </c>
    </row>
    <row r="65">
      <c r="A65" s="25" t="inlineStr">
        <is>
          <t>说明：① 原 v2.0 中 sg-mnl-alb / sg-sg-alb 入向为 0.0.0.0/0，可被直连 ALB 公网 IP 绕过 WAF，该收敛方案于 2026-10-06 裁定作废：ALB 入向保持 0.0.0.0/0 :80,443 不收敛（WAF 3.0 = 云原生 SDK 接入，见任务 47 定稿与风险文档 §8）；② 跨 VPC 对端无法以安全组表达，相关规则改为 CIDR /32，并由 RDS 公网白名单二次收敛；③ 上游出口保留 0.0.0.0/0 出向为必要放通，由目的侧白名单与出向限速约束。</t>
        </is>
      </c>
    </row>
    <row r="66">
      <c r="A66" s="25" t="inlineStr">
        <is>
          <t>说明：① 雅加达 dev 网络层（VPC + 7 个 vSwitch：pub×2 / app×3 / data×2 + sg-jkt-dev-app 出向规则）已于 2026-09-30 建成并复核，CIDR 偏移已与马尼拉/新加坡逐槽同构（pub=.0/.1、app=16/32、data=48/64，第 3 可用区追加在 10.2.80.0/20），全部资源属 rg-nonprod（rg-aek4hk3prqgqjcy），标签 env=dev / project=new-api / isolation=structural-vpc；② 隔离是结构性的：跨 VPC 不通 + 生产 RDS 公网 5432 出向拒绝 + 无 CEN / 无 VPC 对等连接（实测 DescribeCens=0、ListVpcPeerConnections=0）；namespace 只作组织与 RBAC 边界，不构成网络或数据边界；③ 尚未创建（待支出核准）：dev NAT/EIP、ACK 集群与节点池、dev RDS PG 17.0、Tair、工作负载；RDS 建库参数已用 DryRun 验证通过（SecurityIPList 仅含 app 三段 10.2.16.0/20、10.2.32.0/20、10.2.80.0/20，实例落在 data-5a 10.2.48.0/20；pub / data 段不加入白名单）。实测值与回滚命令见 deploy/jakarta_dev_ledger.md。</t>
        </is>
      </c>
    </row>
    <row r="67">
      <c r="A67" s="25" t="inlineStr">
        <is>
          <t>说明：② Phase 2 计算与数据层实测建成（2026-09-30 18:00–18:35 UTC+8，已产生费用）。ACK：集群 cb0abf5bc06034f7bbdb991752f6f3e62 / ack-newapi-jkt-dev，规格 ack.standard（基础版，集群管理费 0；生产用 ack.pro.small，Pro 约 0.6 USD/h，dev 用 Pro 会撑爆预算），版本 1.35.7-aliyun.1 与生产一致，Terway ENIIP、Service CIDR 172.23.0.0/20（马尼拉 172.21、新加坡 172.22 顺延，保持三站点同构）、ipvs、API Server 仅内网、删除保护已开。节点池 np-jkt-dev-app / npd3cc9d7f0503472f85420d30436269b5 / ESS asg-k1a59qtckc246wh9r3ay，min=1 max=3，机型 g9i/g8ine/g9ae.large，系统盘 cloud_essd 40G，按量，节点无公网 IP（出网走 NAT），无 SSH 密钥（运维入口用云助手）。RDS：pgm-d9j9p421lzx4gw73 / PostgreSQL 17.0 / pg.n2.2c.1m / 20G cloud_essd / Basic / 按量 / Running，落 data-5a vsw-k1a9u8pkwwkc6z0x6g0kc，内网 10.2.54.76:5432，仅 Private 端点未开公网，白名单只有 app 三段 10.2.16.0/20、10.2.32.0/20、10.2.80.0/20。⚠ 费用偏差：原估按 1 台节点，实测伸缩链路 0→1→3→2（autoscaler 因 coredns 跨可用区打散顶到 max，随后回收唯一空节点），稳态为 2 台 ≈132.82 USD/月，加 RDS 43.38 共 ≈176 USD/月 + NAT/EIP，比授权口径高约 66 USD/月；压回 1 台需把节点池收到单可用区（牺牲 AZ 冗余），待负责人定。另：余额 AvailableAmount 0.00 USD 下 EIP/NAT/ACK/RDS 全部下单成功，故 BSS 余额不能作为「能否开按量」的判据。</t>
        </is>
      </c>
    </row>
  </sheetData>
  <mergeCells count="7">
    <mergeCell ref="A66:F66"/>
    <mergeCell ref="A1:F1"/>
    <mergeCell ref="A37:F37"/>
    <mergeCell ref="A67:F67"/>
    <mergeCell ref="A30:F30"/>
    <mergeCell ref="A65:F65"/>
    <mergeCell ref="A57:F5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xSplit="2" ySplit="3" topLeftCell="C4" activePane="bottomRight" state="frozen"/>
      <selection activeCell="A1" sqref="A1"/>
      <selection pane="topRight" activeCell="A1" sqref="A1"/>
      <selection pane="bottomLeft" activeCell="A1" sqref="A1"/>
      <selection pane="bottomRight" activeCell="A1" sqref="A1:X1"/>
    </sheetView>
  </sheetViews>
  <sheetFormatPr baseColWidth="8" defaultColWidth="9" defaultRowHeight="13.5"/>
  <cols>
    <col width="10.125" customWidth="1" style="11" min="1" max="1"/>
    <col width="22.875" customWidth="1" style="11" min="2" max="2"/>
    <col width="44" customWidth="1" style="11" min="3" max="3"/>
    <col width="8.75" customWidth="1" style="11" min="4" max="4"/>
    <col width="35.125" customWidth="1" style="11" min="5" max="5"/>
    <col width="9.625" customWidth="1" style="11" min="6" max="6"/>
    <col width="27.875" customWidth="1" style="11" min="7" max="7"/>
    <col width="6.625" customWidth="1" style="11" min="8" max="8"/>
    <col width="9.625" customWidth="1" style="11" min="9" max="9"/>
    <col width="2.375" customWidth="1" style="11" min="10" max="18"/>
    <col width="3.25" customWidth="1" style="11" min="19" max="27"/>
    <col width="39.75" customWidth="1" style="11" min="28" max="28"/>
    <col width="5.125" customWidth="1" style="11" min="29" max="29"/>
    <col width="10.25" customWidth="1" style="11" min="30" max="30"/>
  </cols>
  <sheetData>
    <row r="1" ht="20" customHeight="1" s="11">
      <c r="A1" s="12" t="inlineStr">
        <is>
          <t>5 天冲刺排期 · 每天 3 个工作段（S1 上午 09:00–13:00 / S2 下午 14:00–18:00 / S3 晚间 19:00–23:00，晚间段为加班段）· 单人每段上限 4 人时。（⚠ 现行工期口径 = 1 人 × 4 天 / 8 个执行窗口，见指南 §0.2–§0.4；本表 5 天 / 2 人 / 15 段为 v2.3 历史口径，保留供追溯）</t>
        </is>
      </c>
    </row>
    <row r="2">
      <c r="A2" s="13" t="inlineStr">
        <is>
          <t>天 / 时段</t>
        </is>
      </c>
      <c r="B2" s="8" t="n"/>
      <c r="C2" s="8" t="n"/>
      <c r="D2" s="8" t="n"/>
      <c r="E2" s="8" t="n"/>
      <c r="F2" s="8" t="n"/>
      <c r="G2" s="8" t="n"/>
      <c r="H2" s="8" t="n"/>
      <c r="I2" s="9" t="n"/>
      <c r="J2" s="20" t="inlineStr">
        <is>
          <t>D1</t>
        </is>
      </c>
      <c r="K2" s="8" t="n"/>
      <c r="L2" s="9" t="n"/>
      <c r="M2" s="20" t="inlineStr">
        <is>
          <t>D2</t>
        </is>
      </c>
      <c r="N2" s="8" t="n"/>
      <c r="O2" s="9" t="n"/>
      <c r="P2" s="20" t="inlineStr">
        <is>
          <t>D3</t>
        </is>
      </c>
      <c r="Q2" s="8" t="n"/>
      <c r="R2" s="9" t="n"/>
      <c r="S2" s="20" t="inlineStr">
        <is>
          <t>D4</t>
        </is>
      </c>
      <c r="T2" s="8" t="n"/>
      <c r="U2" s="9" t="n"/>
      <c r="V2" s="20" t="inlineStr">
        <is>
          <t>D5</t>
        </is>
      </c>
      <c r="W2" s="8" t="n"/>
      <c r="X2" s="9" t="n"/>
      <c r="Z2" s="13" t="n"/>
      <c r="AB2" s="22" t="inlineStr">
        <is>
          <t>验收标准 / 状态 / 每时段投入</t>
        </is>
      </c>
    </row>
    <row r="3" ht="28.5" customHeight="1" s="11">
      <c r="A3" s="14" t="inlineStr">
        <is>
          <t>天</t>
        </is>
      </c>
      <c r="B3" s="14" t="inlineStr">
        <is>
          <t>序号</t>
        </is>
      </c>
      <c r="C3" s="14" t="inlineStr">
        <is>
          <t>任务 / 交付物</t>
        </is>
      </c>
      <c r="D3" s="14" t="inlineStr">
        <is>
          <t>负责</t>
        </is>
      </c>
      <c r="E3" s="14" t="inlineStr">
        <is>
          <t>前置依赖</t>
        </is>
      </c>
      <c r="F3" s="14" t="inlineStr">
        <is>
          <t>工期(人时)</t>
        </is>
      </c>
      <c r="G3" s="14" t="inlineStr">
        <is>
          <t>起始时段</t>
        </is>
      </c>
      <c r="H3" s="14" t="inlineStr">
        <is>
          <t>完成时段</t>
        </is>
      </c>
      <c r="I3" s="14" t="inlineStr">
        <is>
          <t>日期</t>
        </is>
      </c>
      <c r="J3" s="14" t="inlineStr">
        <is>
          <t>S1</t>
        </is>
      </c>
      <c r="K3" s="14" t="inlineStr">
        <is>
          <t>S2</t>
        </is>
      </c>
      <c r="L3" s="14" t="inlineStr">
        <is>
          <t>S3</t>
        </is>
      </c>
      <c r="M3" s="14" t="inlineStr">
        <is>
          <t>S4</t>
        </is>
      </c>
      <c r="N3" s="14" t="inlineStr">
        <is>
          <t>S5</t>
        </is>
      </c>
      <c r="O3" s="14" t="inlineStr">
        <is>
          <t>S6</t>
        </is>
      </c>
      <c r="P3" s="14" t="inlineStr">
        <is>
          <t>S7</t>
        </is>
      </c>
      <c r="Q3" s="14" t="inlineStr">
        <is>
          <t>S8</t>
        </is>
      </c>
      <c r="R3" s="14" t="inlineStr">
        <is>
          <t>S9</t>
        </is>
      </c>
      <c r="S3" s="14" t="inlineStr">
        <is>
          <t>S10</t>
        </is>
      </c>
      <c r="T3" s="14" t="inlineStr">
        <is>
          <t>S11</t>
        </is>
      </c>
      <c r="U3" s="14" t="inlineStr">
        <is>
          <t>S12</t>
        </is>
      </c>
      <c r="V3" s="14" t="inlineStr">
        <is>
          <t>S13</t>
        </is>
      </c>
      <c r="W3" s="14" t="inlineStr">
        <is>
          <t>S14</t>
        </is>
      </c>
      <c r="X3" s="14" t="inlineStr">
        <is>
          <t>S15</t>
        </is>
      </c>
      <c r="Y3" s="14" t="n"/>
      <c r="Z3" s="14" t="n"/>
      <c r="AA3" s="14" t="n"/>
      <c r="AB3" s="14" t="inlineStr">
        <is>
          <t>验收标准</t>
        </is>
      </c>
      <c r="AC3" s="14" t="inlineStr">
        <is>
          <t>状态</t>
        </is>
      </c>
      <c r="AD3" s="14" t="inlineStr">
        <is>
          <t>每时段投入(人时)</t>
        </is>
      </c>
    </row>
    <row r="4" ht="14.25" customHeight="1" s="11">
      <c r="A4" s="15" t="inlineStr">
        <is>
          <t>D1</t>
        </is>
      </c>
      <c r="B4" s="15" t="n">
        <v>1</v>
      </c>
      <c r="C4" s="16" t="inlineStr">
        <is>
          <t>账号/实名/配额/支付最终确认与补件（门禁 G0 收口）</t>
        </is>
      </c>
      <c r="D4" s="15" t="inlineStr">
        <is>
          <t>人员A</t>
        </is>
      </c>
      <c r="E4" s="16" t="inlineStr">
        <is>
          <t>G0（G1–G7/G9 已闭环）</t>
        </is>
      </c>
      <c r="F4" s="17" t="n">
        <v>2</v>
      </c>
      <c r="G4" s="17" t="n">
        <v>2</v>
      </c>
      <c r="H4" s="17" t="n">
        <v>2</v>
      </c>
      <c r="I4" s="47">
        <f>说明与总览!$B$21+VALUE(MID($A4,2,1))-1</f>
        <v/>
      </c>
      <c r="J4" s="17">
        <f>IF(AND($G4&lt;=1,$H4&gt;=1),"■■","")</f>
        <v/>
      </c>
      <c r="K4" s="17">
        <f>IF(AND($G4&lt;=2,$H4&gt;=2),"■■","")</f>
        <v/>
      </c>
      <c r="L4" s="17">
        <f>IF(AND($G4&lt;=3,$H4&gt;=3),"■■","")</f>
        <v/>
      </c>
      <c r="M4" s="17">
        <f>IF(AND($G4&lt;=4,$H4&gt;=4),"■■","")</f>
        <v/>
      </c>
      <c r="N4" s="17">
        <f>IF(AND($G4&lt;=5,$H4&gt;=5),"■■","")</f>
        <v/>
      </c>
      <c r="O4" s="17">
        <f>IF(AND($G4&lt;=6,$H4&gt;=6),"■■","")</f>
        <v/>
      </c>
      <c r="P4" s="17">
        <f>IF(AND($G4&lt;=7,$H4&gt;=7),"■■","")</f>
        <v/>
      </c>
      <c r="Q4" s="17">
        <f>IF(AND($G4&lt;=8,$H4&gt;=8),"■■","")</f>
        <v/>
      </c>
      <c r="R4" s="17">
        <f>IF(AND($G4&lt;=9,$H4&gt;=9),"■■","")</f>
        <v/>
      </c>
      <c r="S4" s="17">
        <f>IF(AND($G4&lt;=10,$H4&gt;=10),"■■","")</f>
        <v/>
      </c>
      <c r="T4" s="17">
        <f>IF(AND($G4&lt;=11,$H4&gt;=11),"■■","")</f>
        <v/>
      </c>
      <c r="U4" s="17">
        <f>IF(AND($G4&lt;=12,$H4&gt;=12),"■■","")</f>
        <v/>
      </c>
      <c r="V4" s="17">
        <f>IF(AND($G4&lt;=13,$H4&gt;=13),"■■","")</f>
        <v/>
      </c>
      <c r="W4" s="17">
        <f>IF(AND($G4&lt;=14,$H4&gt;=14),"■■","")</f>
        <v/>
      </c>
      <c r="X4" s="17">
        <f>IF(AND($G4&lt;=15,$H4&gt;=15),"■■","")</f>
        <v/>
      </c>
      <c r="Y4" s="17" t="n"/>
      <c r="Z4" s="17" t="n"/>
      <c r="AA4" s="17" t="n"/>
      <c r="AB4" s="16" t="inlineStr">
        <is>
          <t>G0 门禁全部通过，无遗留待批复项</t>
        </is>
      </c>
      <c r="AC4" s="16" t="inlineStr">
        <is>
          <t>部分交付（§0.7 G0：G1/G2/G3/G4/G5/G10/G12 已闭环，G5 于 2026-10-12 签发；G6/G7/G8/G11/G13 仍待闭环）</t>
        </is>
      </c>
      <c r="AD4" s="17">
        <f>IF($H4&lt;$G4,0,$F4/($H4-$G4+1))</f>
        <v/>
      </c>
    </row>
    <row r="5" ht="14.25" customHeight="1" s="11">
      <c r="A5" s="15" t="inlineStr">
        <is>
          <t>D1</t>
        </is>
      </c>
      <c r="B5" s="15" t="n">
        <v>2</v>
      </c>
      <c r="C5" s="16" t="inlineStr">
        <is>
          <t>域名解析记录与 NS 生效复核</t>
        </is>
      </c>
      <c r="D5" s="15" t="inlineStr">
        <is>
          <t>人员B</t>
        </is>
      </c>
      <c r="E5" s="16" t="inlineStr">
        <is>
          <t>G4,G5</t>
        </is>
      </c>
      <c r="F5" s="17" t="n">
        <v>1</v>
      </c>
      <c r="G5" s="17" t="n">
        <v>3</v>
      </c>
      <c r="H5" s="17" t="n">
        <v>3</v>
      </c>
      <c r="I5" s="47">
        <f>说明与总览!$B$21+VALUE(MID($A5,2,1))-1</f>
        <v/>
      </c>
      <c r="J5" s="17">
        <f>IF(AND($G5&lt;=1,$H5&gt;=1),"■■","")</f>
        <v/>
      </c>
      <c r="K5" s="17">
        <f>IF(AND($G5&lt;=2,$H5&gt;=2),"■■","")</f>
        <v/>
      </c>
      <c r="L5" s="17">
        <f>IF(AND($G5&lt;=3,$H5&gt;=3),"■■","")</f>
        <v/>
      </c>
      <c r="M5" s="17">
        <f>IF(AND($G5&lt;=4,$H5&gt;=4),"■■","")</f>
        <v/>
      </c>
      <c r="N5" s="17">
        <f>IF(AND($G5&lt;=5,$H5&gt;=5),"■■","")</f>
        <v/>
      </c>
      <c r="O5" s="17">
        <f>IF(AND($G5&lt;=6,$H5&gt;=6),"■■","")</f>
        <v/>
      </c>
      <c r="P5" s="17">
        <f>IF(AND($G5&lt;=7,$H5&gt;=7),"■■","")</f>
        <v/>
      </c>
      <c r="Q5" s="17">
        <f>IF(AND($G5&lt;=8,$H5&gt;=8),"■■","")</f>
        <v/>
      </c>
      <c r="R5" s="17">
        <f>IF(AND($G5&lt;=9,$H5&gt;=9),"■■","")</f>
        <v/>
      </c>
      <c r="S5" s="17">
        <f>IF(AND($G5&lt;=10,$H5&gt;=10),"■■","")</f>
        <v/>
      </c>
      <c r="T5" s="17">
        <f>IF(AND($G5&lt;=11,$H5&gt;=11),"■■","")</f>
        <v/>
      </c>
      <c r="U5" s="17">
        <f>IF(AND($G5&lt;=12,$H5&gt;=12),"■■","")</f>
        <v/>
      </c>
      <c r="V5" s="17">
        <f>IF(AND($G5&lt;=13,$H5&gt;=13),"■■","")</f>
        <v/>
      </c>
      <c r="W5" s="17">
        <f>IF(AND($G5&lt;=14,$H5&gt;=14),"■■","")</f>
        <v/>
      </c>
      <c r="X5" s="17">
        <f>IF(AND($G5&lt;=15,$H5&gt;=15),"■■","")</f>
        <v/>
      </c>
      <c r="Y5" s="17" t="n"/>
      <c r="Z5" s="17" t="n"/>
      <c r="AA5" s="17" t="n"/>
      <c r="AB5" s="16" t="inlineStr">
        <is>
          <t>dig 权威解析生效，解析记录无冲突</t>
        </is>
      </c>
      <c r="AC5" s="16" t="inlineStr">
        <is>
          <t>部分交付（G4 NS 已闭环、www.likha.hk 解析在用；ops.likha.hk 现网无记录，见指南 §2 域名表）</t>
        </is>
      </c>
      <c r="AD5" s="17">
        <f>IF($H5&lt;$G5,0,$F5/($H5-$G5+1))</f>
        <v/>
      </c>
    </row>
    <row r="6" ht="14.25" customHeight="1" s="11">
      <c r="A6" s="15" t="inlineStr">
        <is>
          <t>D2</t>
        </is>
      </c>
      <c r="B6" s="15" t="n">
        <v>3</v>
      </c>
      <c r="C6" s="16" t="inlineStr">
        <is>
          <t>证书就绪与部署预置（配置模板 / 手工保管私钥 / 到期告警）</t>
        </is>
      </c>
      <c r="D6" s="15" t="inlineStr">
        <is>
          <t>人员A</t>
        </is>
      </c>
      <c r="E6" s="16" t="inlineStr">
        <is>
          <t>G6</t>
        </is>
      </c>
      <c r="F6" s="17" t="n">
        <v>1</v>
      </c>
      <c r="G6" s="17" t="n">
        <v>4</v>
      </c>
      <c r="H6" s="17" t="n">
        <v>4</v>
      </c>
      <c r="I6" s="47">
        <f>说明与总览!$B$21+VALUE(MID($A6,2,1))-1</f>
        <v/>
      </c>
      <c r="J6" s="17">
        <f>IF(AND($G6&lt;=1,$H6&gt;=1),"■■","")</f>
        <v/>
      </c>
      <c r="K6" s="17">
        <f>IF(AND($G6&lt;=2,$H6&gt;=2),"■■","")</f>
        <v/>
      </c>
      <c r="L6" s="17">
        <f>IF(AND($G6&lt;=3,$H6&gt;=3),"■■","")</f>
        <v/>
      </c>
      <c r="M6" s="17">
        <f>IF(AND($G6&lt;=4,$H6&gt;=4),"■■","")</f>
        <v/>
      </c>
      <c r="N6" s="17">
        <f>IF(AND($G6&lt;=5,$H6&gt;=5),"■■","")</f>
        <v/>
      </c>
      <c r="O6" s="17">
        <f>IF(AND($G6&lt;=6,$H6&gt;=6),"■■","")</f>
        <v/>
      </c>
      <c r="P6" s="17">
        <f>IF(AND($G6&lt;=7,$H6&gt;=7),"■■","")</f>
        <v/>
      </c>
      <c r="Q6" s="17">
        <f>IF(AND($G6&lt;=8,$H6&gt;=8),"■■","")</f>
        <v/>
      </c>
      <c r="R6" s="17">
        <f>IF(AND($G6&lt;=9,$H6&gt;=9),"■■","")</f>
        <v/>
      </c>
      <c r="S6" s="17">
        <f>IF(AND($G6&lt;=10,$H6&gt;=10),"■■","")</f>
        <v/>
      </c>
      <c r="T6" s="17">
        <f>IF(AND($G6&lt;=11,$H6&gt;=11),"■■","")</f>
        <v/>
      </c>
      <c r="U6" s="17">
        <f>IF(AND($G6&lt;=12,$H6&gt;=12),"■■","")</f>
        <v/>
      </c>
      <c r="V6" s="17">
        <f>IF(AND($G6&lt;=13,$H6&gt;=13),"■■","")</f>
        <v/>
      </c>
      <c r="W6" s="17">
        <f>IF(AND($G6&lt;=14,$H6&gt;=14),"■■","")</f>
        <v/>
      </c>
      <c r="X6" s="17">
        <f>IF(AND($G6&lt;=15,$H6&gt;=15),"■■","")</f>
        <v/>
      </c>
      <c r="Y6" s="17" t="n"/>
      <c r="Z6" s="17" t="n"/>
      <c r="AA6" s="17" t="n"/>
      <c r="AB6" s="16" t="inlineStr">
        <is>
          <t>证书已签发、私钥手工保管（不使用 KMS）、30 天到期告警生效</t>
        </is>
      </c>
      <c r="AC6" s="16" t="inlineStr">
        <is>
          <t>已完成（2026-10-12 实测 4/4 交付，本卡闭合）：① 私钥+全链入 /root/.deploy_secrets/TLS_WILDCARD_{CRT,KEY}（-rw------- root root 6075/1675、leaf 在前、链 3 张、-modulus md5 两侧同为 df343b79775… ⇒ 配对 PASS，执行器 deploy/logs/tls_store_20261012.sh）；② notAfter=2027-04-28 ≥ 今+30 天、SAN 含 *.likha.hk 与 likha.hk、openssl verify OK、CAS CertificateStatus=issued（CertId=606823）；③ 到期告警：控制台由负责人自配（⚠ 无 API 可取证，证据=负责人确认，配置页截图仍欠），另经授权开实例级自动托管续签 UpdateInstance --AutoReissue enable，GetInstanceDetail 与 ListInstances 双路回读均为 enable（写前 disable）；④ 模板落地 deploy/cert/targets.yaml（含现场回读的 ALB/监听 ID）。★ 长期风险如实登记：AutoReissueCount 仍 0、ListTrusteeOrder NotFound、ListDeploymentJob 与 ListCloudResources(alb) 全空 ⇒ ALB 直接绑 CertIdentifier、无 CAS 部署联动 ⇒ 续签后须人工把新 CertId 换绑两地 HTTPS 监听（R1–R4 已写入 targets.yaml，2027-03-29 前执行）。⚠ 另：本轮调试用 bash -x 把私钥正文留在本机会话记录（无远端副本），负责人裁定按「接受」处置，2027-03 续签窗口自然换新；永久规则=处理私钥的脚本禁 -x。</t>
        </is>
      </c>
      <c r="AD6" s="17">
        <f>IF($H6&lt;$G6,0,$F6/($H6-$G6+1))</f>
        <v/>
      </c>
    </row>
    <row r="7" ht="14.25" customHeight="1" s="11">
      <c r="A7" s="15" t="inlineStr">
        <is>
          <t>D1</t>
        </is>
      </c>
      <c r="B7" s="15" t="n">
        <v>4</v>
      </c>
      <c r="C7" s="16" t="inlineStr">
        <is>
          <t>创建马尼拉 RDS PostgreSQL 高可用版（主备跨 AZ）+ 参数组</t>
        </is>
      </c>
      <c r="D7" s="15" t="inlineStr">
        <is>
          <t>人员B</t>
        </is>
      </c>
      <c r="E7" s="16" t="inlineStr">
        <is>
          <t>G2,G3</t>
        </is>
      </c>
      <c r="F7" s="17" t="n">
        <v>2</v>
      </c>
      <c r="G7" s="17" t="n">
        <v>1</v>
      </c>
      <c r="H7" s="17" t="n">
        <v>1</v>
      </c>
      <c r="I7" s="47">
        <f>说明与总览!$B$21+VALUE(MID($A7,2,1))-1</f>
        <v/>
      </c>
      <c r="J7" s="17">
        <f>IF(AND($G7&lt;=1,$H7&gt;=1),"■■","")</f>
        <v/>
      </c>
      <c r="K7" s="17">
        <f>IF(AND($G7&lt;=2,$H7&gt;=2),"■■","")</f>
        <v/>
      </c>
      <c r="L7" s="17">
        <f>IF(AND($G7&lt;=3,$H7&gt;=3),"■■","")</f>
        <v/>
      </c>
      <c r="M7" s="17">
        <f>IF(AND($G7&lt;=4,$H7&gt;=4),"■■","")</f>
        <v/>
      </c>
      <c r="N7" s="17">
        <f>IF(AND($G7&lt;=5,$H7&gt;=5),"■■","")</f>
        <v/>
      </c>
      <c r="O7" s="17">
        <f>IF(AND($G7&lt;=6,$H7&gt;=6),"■■","")</f>
        <v/>
      </c>
      <c r="P7" s="17">
        <f>IF(AND($G7&lt;=7,$H7&gt;=7),"■■","")</f>
        <v/>
      </c>
      <c r="Q7" s="17">
        <f>IF(AND($G7&lt;=8,$H7&gt;=8),"■■","")</f>
        <v/>
      </c>
      <c r="R7" s="17">
        <f>IF(AND($G7&lt;=9,$H7&gt;=9),"■■","")</f>
        <v/>
      </c>
      <c r="S7" s="17">
        <f>IF(AND($G7&lt;=10,$H7&gt;=10),"■■","")</f>
        <v/>
      </c>
      <c r="T7" s="17">
        <f>IF(AND($G7&lt;=11,$H7&gt;=11),"■■","")</f>
        <v/>
      </c>
      <c r="U7" s="17">
        <f>IF(AND($G7&lt;=12,$H7&gt;=12),"■■","")</f>
        <v/>
      </c>
      <c r="V7" s="17">
        <f>IF(AND($G7&lt;=13,$H7&gt;=13),"■■","")</f>
        <v/>
      </c>
      <c r="W7" s="17">
        <f>IF(AND($G7&lt;=14,$H7&gt;=14),"■■","")</f>
        <v/>
      </c>
      <c r="X7" s="17">
        <f>IF(AND($G7&lt;=15,$H7&gt;=15),"■■","")</f>
        <v/>
      </c>
      <c r="Y7" s="17" t="n"/>
      <c r="Z7" s="17" t="n"/>
      <c r="AA7" s="17" t="n"/>
      <c r="AB7" s="16" t="inlineStr">
        <is>
          <t>实例可连、主备跨可用区、参数组生效</t>
        </is>
      </c>
      <c r="AC7" s="16" t="inlineStr">
        <is>
          <t>已完成</t>
        </is>
      </c>
      <c r="AD7" s="17">
        <f>IF($H7&lt;$G7,0,$F7/($H7-$G7+1))</f>
        <v/>
      </c>
    </row>
    <row r="8" ht="14.25" customHeight="1" s="11">
      <c r="A8" s="15" t="inlineStr">
        <is>
          <t>D1</t>
        </is>
      </c>
      <c r="B8" s="15" t="n">
        <v>5</v>
      </c>
      <c r="C8" s="16" t="inlineStr">
        <is>
          <t>创建马尼拉 VPC 与 4 组 vSwitch（跨 2 AZ）</t>
        </is>
      </c>
      <c r="D8" s="15" t="inlineStr">
        <is>
          <t>人员A</t>
        </is>
      </c>
      <c r="E8" s="16" t="inlineStr">
        <is>
          <t>G1,G2</t>
        </is>
      </c>
      <c r="F8" s="17" t="n">
        <v>4</v>
      </c>
      <c r="G8" s="17" t="n">
        <v>1</v>
      </c>
      <c r="H8" s="17" t="n">
        <v>1</v>
      </c>
      <c r="I8" s="47">
        <f>说明与总览!$B$21+VALUE(MID($A8,2,1))-1</f>
        <v/>
      </c>
      <c r="J8" s="17">
        <f>IF(AND($G8&lt;=1,$H8&gt;=1),"■■","")</f>
        <v/>
      </c>
      <c r="K8" s="17">
        <f>IF(AND($G8&lt;=2,$H8&gt;=2),"■■","")</f>
        <v/>
      </c>
      <c r="L8" s="17">
        <f>IF(AND($G8&lt;=3,$H8&gt;=3),"■■","")</f>
        <v/>
      </c>
      <c r="M8" s="17">
        <f>IF(AND($G8&lt;=4,$H8&gt;=4),"■■","")</f>
        <v/>
      </c>
      <c r="N8" s="17">
        <f>IF(AND($G8&lt;=5,$H8&gt;=5),"■■","")</f>
        <v/>
      </c>
      <c r="O8" s="17">
        <f>IF(AND($G8&lt;=6,$H8&gt;=6),"■■","")</f>
        <v/>
      </c>
      <c r="P8" s="17">
        <f>IF(AND($G8&lt;=7,$H8&gt;=7),"■■","")</f>
        <v/>
      </c>
      <c r="Q8" s="17">
        <f>IF(AND($G8&lt;=8,$H8&gt;=8),"■■","")</f>
        <v/>
      </c>
      <c r="R8" s="17">
        <f>IF(AND($G8&lt;=9,$H8&gt;=9),"■■","")</f>
        <v/>
      </c>
      <c r="S8" s="17">
        <f>IF(AND($G8&lt;=10,$H8&gt;=10),"■■","")</f>
        <v/>
      </c>
      <c r="T8" s="17">
        <f>IF(AND($G8&lt;=11,$H8&gt;=11),"■■","")</f>
        <v/>
      </c>
      <c r="U8" s="17">
        <f>IF(AND($G8&lt;=12,$H8&gt;=12),"■■","")</f>
        <v/>
      </c>
      <c r="V8" s="17">
        <f>IF(AND($G8&lt;=13,$H8&gt;=13),"■■","")</f>
        <v/>
      </c>
      <c r="W8" s="17">
        <f>IF(AND($G8&lt;=14,$H8&gt;=14),"■■","")</f>
        <v/>
      </c>
      <c r="X8" s="17">
        <f>IF(AND($G8&lt;=15,$H8&gt;=15),"■■","")</f>
        <v/>
      </c>
      <c r="Y8" s="17" t="n"/>
      <c r="Z8" s="17" t="n"/>
      <c r="AA8" s="17" t="n"/>
      <c r="AB8" s="16" t="inlineStr">
        <is>
          <t>网段与「网络与安全规划」完全一致</t>
        </is>
      </c>
      <c r="AC8" s="16" t="inlineStr">
        <is>
          <t>已完成</t>
        </is>
      </c>
      <c r="AD8" s="17">
        <f>IF($H8&lt;$G8,0,$F8/($H8-$G8+1))</f>
        <v/>
      </c>
    </row>
    <row r="9" ht="14.25" customHeight="1" s="11">
      <c r="A9" s="15" t="inlineStr">
        <is>
          <t>D1</t>
        </is>
      </c>
      <c r="B9" s="15" t="n">
        <v>6</v>
      </c>
      <c r="C9" s="16" t="inlineStr">
        <is>
          <t>创建马尼拉 NAT 网关与上游出口 EIP 池（含带宽规格）</t>
        </is>
      </c>
      <c r="D9" s="15" t="inlineStr">
        <is>
          <t>人员A</t>
        </is>
      </c>
      <c r="E9" s="16" t="inlineStr">
        <is>
          <t>5</t>
        </is>
      </c>
      <c r="F9" s="17" t="n">
        <v>2</v>
      </c>
      <c r="G9" s="17" t="n">
        <v>2</v>
      </c>
      <c r="H9" s="17" t="n">
        <v>2</v>
      </c>
      <c r="I9" s="47">
        <f>说明与总览!$B$21+VALUE(MID($A9,2,1))-1</f>
        <v/>
      </c>
      <c r="J9" s="17">
        <f>IF(AND($G9&lt;=1,$H9&gt;=1),"■■","")</f>
        <v/>
      </c>
      <c r="K9" s="17">
        <f>IF(AND($G9&lt;=2,$H9&gt;=2),"■■","")</f>
        <v/>
      </c>
      <c r="L9" s="17">
        <f>IF(AND($G9&lt;=3,$H9&gt;=3),"■■","")</f>
        <v/>
      </c>
      <c r="M9" s="17">
        <f>IF(AND($G9&lt;=4,$H9&gt;=4),"■■","")</f>
        <v/>
      </c>
      <c r="N9" s="17">
        <f>IF(AND($G9&lt;=5,$H9&gt;=5),"■■","")</f>
        <v/>
      </c>
      <c r="O9" s="17">
        <f>IF(AND($G9&lt;=6,$H9&gt;=6),"■■","")</f>
        <v/>
      </c>
      <c r="P9" s="17">
        <f>IF(AND($G9&lt;=7,$H9&gt;=7),"■■","")</f>
        <v/>
      </c>
      <c r="Q9" s="17">
        <f>IF(AND($G9&lt;=8,$H9&gt;=8),"■■","")</f>
        <v/>
      </c>
      <c r="R9" s="17">
        <f>IF(AND($G9&lt;=9,$H9&gt;=9),"■■","")</f>
        <v/>
      </c>
      <c r="S9" s="17">
        <f>IF(AND($G9&lt;=10,$H9&gt;=10),"■■","")</f>
        <v/>
      </c>
      <c r="T9" s="17">
        <f>IF(AND($G9&lt;=11,$H9&gt;=11),"■■","")</f>
        <v/>
      </c>
      <c r="U9" s="17">
        <f>IF(AND($G9&lt;=12,$H9&gt;=12),"■■","")</f>
        <v/>
      </c>
      <c r="V9" s="17">
        <f>IF(AND($G9&lt;=13,$H9&gt;=13),"■■","")</f>
        <v/>
      </c>
      <c r="W9" s="17">
        <f>IF(AND($G9&lt;=14,$H9&gt;=14),"■■","")</f>
        <v/>
      </c>
      <c r="X9" s="17">
        <f>IF(AND($G9&lt;=15,$H9&gt;=15),"■■","")</f>
        <v/>
      </c>
      <c r="Y9" s="17" t="n"/>
      <c r="Z9" s="17" t="n"/>
      <c r="AA9" s="17" t="n"/>
      <c r="AB9" s="16" t="inlineStr">
        <is>
          <t>EIP 固定可出网，NAT 带宽规格已确认</t>
        </is>
      </c>
      <c r="AC9" s="16" t="inlineStr">
        <is>
          <t>已完成</t>
        </is>
      </c>
      <c r="AD9" s="17">
        <f>IF($H9&lt;$G9,0,$F9/($H9-$G9+1))</f>
        <v/>
      </c>
    </row>
    <row r="10" ht="14.25" customHeight="1" s="11">
      <c r="A10" s="15" t="inlineStr">
        <is>
          <t>D1</t>
        </is>
      </c>
      <c r="B10" s="15" t="n">
        <v>7</v>
      </c>
      <c r="C10" s="16" t="inlineStr">
        <is>
          <t>创建 Tair 主备版实例</t>
        </is>
      </c>
      <c r="D10" s="15" t="inlineStr">
        <is>
          <t>人员B</t>
        </is>
      </c>
      <c r="E10" s="16" t="inlineStr">
        <is>
          <t>4</t>
        </is>
      </c>
      <c r="F10" s="17" t="n">
        <v>1</v>
      </c>
      <c r="G10" s="17" t="n">
        <v>3</v>
      </c>
      <c r="H10" s="17" t="n">
        <v>3</v>
      </c>
      <c r="I10" s="47">
        <f>说明与总览!$B$21+VALUE(MID($A10,2,1))-1</f>
        <v/>
      </c>
      <c r="J10" s="17">
        <f>IF(AND($G10&lt;=1,$H10&gt;=1),"■■","")</f>
        <v/>
      </c>
      <c r="K10" s="17">
        <f>IF(AND($G10&lt;=2,$H10&gt;=2),"■■","")</f>
        <v/>
      </c>
      <c r="L10" s="17">
        <f>IF(AND($G10&lt;=3,$H10&gt;=3),"■■","")</f>
        <v/>
      </c>
      <c r="M10" s="17">
        <f>IF(AND($G10&lt;=4,$H10&gt;=4),"■■","")</f>
        <v/>
      </c>
      <c r="N10" s="17">
        <f>IF(AND($G10&lt;=5,$H10&gt;=5),"■■","")</f>
        <v/>
      </c>
      <c r="O10" s="17">
        <f>IF(AND($G10&lt;=6,$H10&gt;=6),"■■","")</f>
        <v/>
      </c>
      <c r="P10" s="17">
        <f>IF(AND($G10&lt;=7,$H10&gt;=7),"■■","")</f>
        <v/>
      </c>
      <c r="Q10" s="17">
        <f>IF(AND($G10&lt;=8,$H10&gt;=8),"■■","")</f>
        <v/>
      </c>
      <c r="R10" s="17">
        <f>IF(AND($G10&lt;=9,$H10&gt;=9),"■■","")</f>
        <v/>
      </c>
      <c r="S10" s="17">
        <f>IF(AND($G10&lt;=10,$H10&gt;=10),"■■","")</f>
        <v/>
      </c>
      <c r="T10" s="17">
        <f>IF(AND($G10&lt;=11,$H10&gt;=11),"■■","")</f>
        <v/>
      </c>
      <c r="U10" s="17">
        <f>IF(AND($G10&lt;=12,$H10&gt;=12),"■■","")</f>
        <v/>
      </c>
      <c r="V10" s="17">
        <f>IF(AND($G10&lt;=13,$H10&gt;=13),"■■","")</f>
        <v/>
      </c>
      <c r="W10" s="17">
        <f>IF(AND($G10&lt;=14,$H10&gt;=14),"■■","")</f>
        <v/>
      </c>
      <c r="X10" s="17">
        <f>IF(AND($G10&lt;=15,$H10&gt;=15),"■■","")</f>
        <v/>
      </c>
      <c r="Y10" s="17" t="n"/>
      <c r="Z10" s="17" t="n"/>
      <c r="AA10" s="17" t="n"/>
      <c r="AB10" s="16" t="inlineStr">
        <is>
          <t>连接与 ACL 认证验证通过</t>
        </is>
      </c>
      <c r="AC10" s="16" t="inlineStr">
        <is>
          <t>已完成</t>
        </is>
      </c>
      <c r="AD10" s="17">
        <f>IF($H10&lt;$G10,0,$F10/($H10-$G10+1))</f>
        <v/>
      </c>
    </row>
    <row r="11" ht="14.25" customHeight="1" s="11">
      <c r="A11" s="15" t="inlineStr">
        <is>
          <t>D1</t>
        </is>
      </c>
      <c r="B11" s="15" t="n">
        <v>8</v>
      </c>
      <c r="C11" s="16" t="inlineStr">
        <is>
          <t>创建 OSS Bucket（ZRS + 版本控制 + 生命周期）</t>
        </is>
      </c>
      <c r="D11" s="15" t="inlineStr">
        <is>
          <t>人员B</t>
        </is>
      </c>
      <c r="E11" s="16" t="inlineStr">
        <is>
          <t>G7</t>
        </is>
      </c>
      <c r="F11" s="17" t="n">
        <v>1</v>
      </c>
      <c r="G11" s="17" t="n">
        <v>1</v>
      </c>
      <c r="H11" s="17" t="n">
        <v>1</v>
      </c>
      <c r="I11" s="47">
        <f>说明与总览!$B$21+VALUE(MID($A11,2,1))-1</f>
        <v/>
      </c>
      <c r="J11" s="17">
        <f>IF(AND($G11&lt;=1,$H11&gt;=1),"■■","")</f>
        <v/>
      </c>
      <c r="K11" s="17">
        <f>IF(AND($G11&lt;=2,$H11&gt;=2),"■■","")</f>
        <v/>
      </c>
      <c r="L11" s="17">
        <f>IF(AND($G11&lt;=3,$H11&gt;=3),"■■","")</f>
        <v/>
      </c>
      <c r="M11" s="17">
        <f>IF(AND($G11&lt;=4,$H11&gt;=4),"■■","")</f>
        <v/>
      </c>
      <c r="N11" s="17">
        <f>IF(AND($G11&lt;=5,$H11&gt;=5),"■■","")</f>
        <v/>
      </c>
      <c r="O11" s="17">
        <f>IF(AND($G11&lt;=6,$H11&gt;=6),"■■","")</f>
        <v/>
      </c>
      <c r="P11" s="17">
        <f>IF(AND($G11&lt;=7,$H11&gt;=7),"■■","")</f>
        <v/>
      </c>
      <c r="Q11" s="17">
        <f>IF(AND($G11&lt;=8,$H11&gt;=8),"■■","")</f>
        <v/>
      </c>
      <c r="R11" s="17">
        <f>IF(AND($G11&lt;=9,$H11&gt;=9),"■■","")</f>
        <v/>
      </c>
      <c r="S11" s="17">
        <f>IF(AND($G11&lt;=10,$H11&gt;=10),"■■","")</f>
        <v/>
      </c>
      <c r="T11" s="17">
        <f>IF(AND($G11&lt;=11,$H11&gt;=11),"■■","")</f>
        <v/>
      </c>
      <c r="U11" s="17">
        <f>IF(AND($G11&lt;=12,$H11&gt;=12),"■■","")</f>
        <v/>
      </c>
      <c r="V11" s="17">
        <f>IF(AND($G11&lt;=13,$H11&gt;=13),"■■","")</f>
        <v/>
      </c>
      <c r="W11" s="17">
        <f>IF(AND($G11&lt;=14,$H11&gt;=14),"■■","")</f>
        <v/>
      </c>
      <c r="X11" s="17">
        <f>IF(AND($G11&lt;=15,$H11&gt;=15),"■■","")</f>
        <v/>
      </c>
      <c r="Y11" s="17" t="n"/>
      <c r="Z11" s="17" t="n"/>
      <c r="AA11" s="17" t="n"/>
      <c r="AB11" s="16" t="inlineStr">
        <is>
          <t>策略与防盗链规则生效</t>
        </is>
      </c>
      <c r="AC11" s="16" t="inlineStr">
        <is>
          <t>已完成</t>
        </is>
      </c>
      <c r="AD11" s="17">
        <f>IF($H11&lt;$G11,0,$F11/($H11-$G11+1))</f>
        <v/>
      </c>
    </row>
    <row r="12" ht="14.25" customHeight="1" s="11">
      <c r="A12" s="15" t="inlineStr">
        <is>
          <t>D1</t>
        </is>
      </c>
      <c r="B12" s="15" t="n">
        <v>9</v>
      </c>
      <c r="C12" s="16" t="inlineStr">
        <is>
          <t>创建 ClickHouse 2 节点日志库（TTL 90 天）</t>
        </is>
      </c>
      <c r="D12" s="15" t="inlineStr">
        <is>
          <t>人员B</t>
        </is>
      </c>
      <c r="E12" s="16" t="inlineStr">
        <is>
          <t>G7</t>
        </is>
      </c>
      <c r="F12" s="17" t="n">
        <v>2</v>
      </c>
      <c r="G12" s="17" t="n">
        <v>2</v>
      </c>
      <c r="H12" s="17" t="n">
        <v>2</v>
      </c>
      <c r="I12" s="47">
        <f>说明与总览!$B$21+VALUE(MID($A12,2,1))-1</f>
        <v/>
      </c>
      <c r="J12" s="17">
        <f>IF(AND($G12&lt;=1,$H12&gt;=1),"■■","")</f>
        <v/>
      </c>
      <c r="K12" s="17">
        <f>IF(AND($G12&lt;=2,$H12&gt;=2),"■■","")</f>
        <v/>
      </c>
      <c r="L12" s="17">
        <f>IF(AND($G12&lt;=3,$H12&gt;=3),"■■","")</f>
        <v/>
      </c>
      <c r="M12" s="17">
        <f>IF(AND($G12&lt;=4,$H12&gt;=4),"■■","")</f>
        <v/>
      </c>
      <c r="N12" s="17">
        <f>IF(AND($G12&lt;=5,$H12&gt;=5),"■■","")</f>
        <v/>
      </c>
      <c r="O12" s="17">
        <f>IF(AND($G12&lt;=6,$H12&gt;=6),"■■","")</f>
        <v/>
      </c>
      <c r="P12" s="17">
        <f>IF(AND($G12&lt;=7,$H12&gt;=7),"■■","")</f>
        <v/>
      </c>
      <c r="Q12" s="17">
        <f>IF(AND($G12&lt;=8,$H12&gt;=8),"■■","")</f>
        <v/>
      </c>
      <c r="R12" s="17">
        <f>IF(AND($G12&lt;=9,$H12&gt;=9),"■■","")</f>
        <v/>
      </c>
      <c r="S12" s="17">
        <f>IF(AND($G12&lt;=10,$H12&gt;=10),"■■","")</f>
        <v/>
      </c>
      <c r="T12" s="17">
        <f>IF(AND($G12&lt;=11,$H12&gt;=11),"■■","")</f>
        <v/>
      </c>
      <c r="U12" s="17">
        <f>IF(AND($G12&lt;=12,$H12&gt;=12),"■■","")</f>
        <v/>
      </c>
      <c r="V12" s="17">
        <f>IF(AND($G12&lt;=13,$H12&gt;=13),"■■","")</f>
        <v/>
      </c>
      <c r="W12" s="17">
        <f>IF(AND($G12&lt;=14,$H12&gt;=14),"■■","")</f>
        <v/>
      </c>
      <c r="X12" s="17">
        <f>IF(AND($G12&lt;=15,$H12&gt;=15),"■■","")</f>
        <v/>
      </c>
      <c r="Y12" s="17" t="n"/>
      <c r="Z12" s="17" t="n"/>
      <c r="AA12" s="17" t="n"/>
      <c r="AB12" s="16" t="inlineStr">
        <is>
          <t>写入成功且 TTL 生效</t>
        </is>
      </c>
      <c r="AC12" s="16" t="inlineStr">
        <is>
          <t>已完成</t>
        </is>
      </c>
      <c r="AD12" s="17">
        <f>IF($H12&lt;$G12,0,$F12/($H12-$G12+1))</f>
        <v/>
      </c>
    </row>
    <row r="13" ht="28.5" customHeight="1" s="11">
      <c r="A13" s="15" t="inlineStr">
        <is>
          <t>D1</t>
        </is>
      </c>
      <c r="B13" s="15" t="n">
        <v>10</v>
      </c>
      <c r="C13" s="16" t="inlineStr">
        <is>
          <t>创建马尼拉 ACK Pro 集群（K8s 1.31 + Terway + RRSA + API Server 私网端点）</t>
        </is>
      </c>
      <c r="D13" s="15" t="inlineStr">
        <is>
          <t>人员A</t>
        </is>
      </c>
      <c r="E13" s="16" t="inlineStr">
        <is>
          <t>5,6</t>
        </is>
      </c>
      <c r="F13" s="17" t="n">
        <v>2</v>
      </c>
      <c r="G13" s="17" t="n">
        <v>3</v>
      </c>
      <c r="H13" s="17" t="n">
        <v>3</v>
      </c>
      <c r="I13" s="47">
        <f>说明与总览!$B$21+VALUE(MID($A13,2,1))-1</f>
        <v/>
      </c>
      <c r="J13" s="17">
        <f>IF(AND($G13&lt;=1,$H13&gt;=1),"■■","")</f>
        <v/>
      </c>
      <c r="K13" s="17">
        <f>IF(AND($G13&lt;=2,$H13&gt;=2),"■■","")</f>
        <v/>
      </c>
      <c r="L13" s="17">
        <f>IF(AND($G13&lt;=3,$H13&gt;=3),"■■","")</f>
        <v/>
      </c>
      <c r="M13" s="17">
        <f>IF(AND($G13&lt;=4,$H13&gt;=4),"■■","")</f>
        <v/>
      </c>
      <c r="N13" s="17">
        <f>IF(AND($G13&lt;=5,$H13&gt;=5),"■■","")</f>
        <v/>
      </c>
      <c r="O13" s="17">
        <f>IF(AND($G13&lt;=6,$H13&gt;=6),"■■","")</f>
        <v/>
      </c>
      <c r="P13" s="17">
        <f>IF(AND($G13&lt;=7,$H13&gt;=7),"■■","")</f>
        <v/>
      </c>
      <c r="Q13" s="17">
        <f>IF(AND($G13&lt;=8,$H13&gt;=8),"■■","")</f>
        <v/>
      </c>
      <c r="R13" s="17">
        <f>IF(AND($G13&lt;=9,$H13&gt;=9),"■■","")</f>
        <v/>
      </c>
      <c r="S13" s="17">
        <f>IF(AND($G13&lt;=10,$H13&gt;=10),"■■","")</f>
        <v/>
      </c>
      <c r="T13" s="17">
        <f>IF(AND($G13&lt;=11,$H13&gt;=11),"■■","")</f>
        <v/>
      </c>
      <c r="U13" s="17">
        <f>IF(AND($G13&lt;=12,$H13&gt;=12),"■■","")</f>
        <v/>
      </c>
      <c r="V13" s="17">
        <f>IF(AND($G13&lt;=13,$H13&gt;=13),"■■","")</f>
        <v/>
      </c>
      <c r="W13" s="17">
        <f>IF(AND($G13&lt;=14,$H13&gt;=14),"■■","")</f>
        <v/>
      </c>
      <c r="X13" s="17">
        <f>IF(AND($G13&lt;=15,$H13&gt;=15),"■■","")</f>
        <v/>
      </c>
      <c r="Y13" s="17" t="n"/>
      <c r="Z13" s="17" t="n"/>
      <c r="AA13" s="17" t="n"/>
      <c r="AB13" s="16" t="inlineStr">
        <is>
          <t>集群 Running；**RRSA 已开启但不使用**（2026-10-05 裁定）；API Server 未暴露公网（newapi-master PUBLIC→PRIVATE 已复验）</t>
        </is>
      </c>
      <c r="AC13" s="16" t="inlineStr">
        <is>
          <t>已完成</t>
        </is>
      </c>
      <c r="AD13" s="17">
        <f>IF($H13&lt;$G13,0,$F13/($H13-$G13+1))</f>
        <v/>
      </c>
    </row>
    <row r="14" ht="28.5" customHeight="1" s="11">
      <c r="A14" s="15" t="inlineStr">
        <is>
          <t>D2</t>
        </is>
      </c>
      <c r="B14" s="15" t="n">
        <v>11</v>
      </c>
      <c r="C14" s="16" t="inlineStr">
        <is>
          <t>创建 ECS 节点池 4×（三机型 [g9i, g8ine, g9ae]，实得 g9ae.2xlarge，跨 2 AZ、ESSD 300G、nofile 调优）</t>
        </is>
      </c>
      <c r="D14" s="15" t="inlineStr">
        <is>
          <t>人员A</t>
        </is>
      </c>
      <c r="E14" s="16" t="inlineStr">
        <is>
          <t>10</t>
        </is>
      </c>
      <c r="F14" s="17" t="n">
        <v>4</v>
      </c>
      <c r="G14" s="17" t="n">
        <v>4</v>
      </c>
      <c r="H14" s="17" t="n">
        <v>5</v>
      </c>
      <c r="I14" s="47">
        <f>说明与总览!$B$21+VALUE(MID($A14,2,1))-1</f>
        <v/>
      </c>
      <c r="J14" s="17">
        <f>IF(AND($G14&lt;=1,$H14&gt;=1),"■■","")</f>
        <v/>
      </c>
      <c r="K14" s="17">
        <f>IF(AND($G14&lt;=2,$H14&gt;=2),"■■","")</f>
        <v/>
      </c>
      <c r="L14" s="17">
        <f>IF(AND($G14&lt;=3,$H14&gt;=3),"■■","")</f>
        <v/>
      </c>
      <c r="M14" s="17">
        <f>IF(AND($G14&lt;=4,$H14&gt;=4),"■■","")</f>
        <v/>
      </c>
      <c r="N14" s="17">
        <f>IF(AND($G14&lt;=5,$H14&gt;=5),"■■","")</f>
        <v/>
      </c>
      <c r="O14" s="17">
        <f>IF(AND($G14&lt;=6,$H14&gt;=6),"■■","")</f>
        <v/>
      </c>
      <c r="P14" s="17">
        <f>IF(AND($G14&lt;=7,$H14&gt;=7),"■■","")</f>
        <v/>
      </c>
      <c r="Q14" s="17">
        <f>IF(AND($G14&lt;=8,$H14&gt;=8),"■■","")</f>
        <v/>
      </c>
      <c r="R14" s="17">
        <f>IF(AND($G14&lt;=9,$H14&gt;=9),"■■","")</f>
        <v/>
      </c>
      <c r="S14" s="17">
        <f>IF(AND($G14&lt;=10,$H14&gt;=10),"■■","")</f>
        <v/>
      </c>
      <c r="T14" s="17">
        <f>IF(AND($G14&lt;=11,$H14&gt;=11),"■■","")</f>
        <v/>
      </c>
      <c r="U14" s="17">
        <f>IF(AND($G14&lt;=12,$H14&gt;=12),"■■","")</f>
        <v/>
      </c>
      <c r="V14" s="17">
        <f>IF(AND($G14&lt;=13,$H14&gt;=13),"■■","")</f>
        <v/>
      </c>
      <c r="W14" s="17">
        <f>IF(AND($G14&lt;=14,$H14&gt;=14),"■■","")</f>
        <v/>
      </c>
      <c r="X14" s="17">
        <f>IF(AND($G14&lt;=15,$H14&gt;=15),"■■","")</f>
        <v/>
      </c>
      <c r="Y14" s="17" t="n"/>
      <c r="Z14" s="17" t="n"/>
      <c r="AA14" s="17" t="n"/>
      <c r="AB14" s="16" t="inlineStr">
        <is>
          <t>节点 Ready 且跨 2 个可用区分布</t>
        </is>
      </c>
      <c r="AC14" s="16" t="inlineStr">
        <is>
          <t>已完成</t>
        </is>
      </c>
      <c r="AD14" s="17">
        <f>IF($H14&lt;$G14,0,$F14/($H14-$G14+1))</f>
        <v/>
      </c>
    </row>
    <row r="15" ht="14.25" customHeight="1" s="11">
      <c r="A15" s="15" t="inlineStr">
        <is>
          <t>D1</t>
        </is>
      </c>
      <c r="B15" s="15" t="n">
        <v>12</v>
      </c>
      <c r="C15" s="16" t="inlineStr">
        <is>
          <t>创建新加坡 VPC + vSwitch + NAT 网关 + EIP 池</t>
        </is>
      </c>
      <c r="D15" s="15" t="inlineStr">
        <is>
          <t>人员A</t>
        </is>
      </c>
      <c r="E15" s="16" t="inlineStr">
        <is>
          <t>5,6</t>
        </is>
      </c>
      <c r="F15" s="17" t="n">
        <v>2</v>
      </c>
      <c r="G15" s="17" t="n">
        <v>3</v>
      </c>
      <c r="H15" s="17" t="n">
        <v>3</v>
      </c>
      <c r="I15" s="47">
        <f>说明与总览!$B$21+VALUE(MID($A15,2,1))-1</f>
        <v/>
      </c>
      <c r="J15" s="17">
        <f>IF(AND($G15&lt;=1,$H15&gt;=1),"■■","")</f>
        <v/>
      </c>
      <c r="K15" s="17">
        <f>IF(AND($G15&lt;=2,$H15&gt;=2),"■■","")</f>
        <v/>
      </c>
      <c r="L15" s="17">
        <f>IF(AND($G15&lt;=3,$H15&gt;=3),"■■","")</f>
        <v/>
      </c>
      <c r="M15" s="17">
        <f>IF(AND($G15&lt;=4,$H15&gt;=4),"■■","")</f>
        <v/>
      </c>
      <c r="N15" s="17">
        <f>IF(AND($G15&lt;=5,$H15&gt;=5),"■■","")</f>
        <v/>
      </c>
      <c r="O15" s="17">
        <f>IF(AND($G15&lt;=6,$H15&gt;=6),"■■","")</f>
        <v/>
      </c>
      <c r="P15" s="17">
        <f>IF(AND($G15&lt;=7,$H15&gt;=7),"■■","")</f>
        <v/>
      </c>
      <c r="Q15" s="17">
        <f>IF(AND($G15&lt;=8,$H15&gt;=8),"■■","")</f>
        <v/>
      </c>
      <c r="R15" s="17">
        <f>IF(AND($G15&lt;=9,$H15&gt;=9),"■■","")</f>
        <v/>
      </c>
      <c r="S15" s="17">
        <f>IF(AND($G15&lt;=10,$H15&gt;=10),"■■","")</f>
        <v/>
      </c>
      <c r="T15" s="17">
        <f>IF(AND($G15&lt;=11,$H15&gt;=11),"■■","")</f>
        <v/>
      </c>
      <c r="U15" s="17">
        <f>IF(AND($G15&lt;=12,$H15&gt;=12),"■■","")</f>
        <v/>
      </c>
      <c r="V15" s="17">
        <f>IF(AND($G15&lt;=13,$H15&gt;=13),"■■","")</f>
        <v/>
      </c>
      <c r="W15" s="17">
        <f>IF(AND($G15&lt;=14,$H15&gt;=14),"■■","")</f>
        <v/>
      </c>
      <c r="X15" s="17">
        <f>IF(AND($G15&lt;=15,$H15&gt;=15),"■■","")</f>
        <v/>
      </c>
      <c r="Y15" s="17" t="n"/>
      <c r="Z15" s="17" t="n"/>
      <c r="AA15" s="17" t="n"/>
      <c r="AB15" s="16" t="inlineStr">
        <is>
          <t>新加坡 EIP 固定可出网</t>
        </is>
      </c>
      <c r="AC15" s="16" t="inlineStr">
        <is>
          <t>已完成</t>
        </is>
      </c>
      <c r="AD15" s="17">
        <f>IF($H15&lt;$G15,0,$F15/($H15-$G15+1))</f>
        <v/>
      </c>
    </row>
    <row r="16" ht="14.25" customHeight="1" s="11">
      <c r="A16" s="15" t="inlineStr">
        <is>
          <t>D1</t>
        </is>
      </c>
      <c r="B16" s="15" t="n">
        <v>13</v>
      </c>
      <c r="C16" s="16" t="inlineStr">
        <is>
          <t>创建 RDS 账号 newapi / newapi_sg + 权限最小化</t>
        </is>
      </c>
      <c r="D16" s="15" t="inlineStr">
        <is>
          <t>人员B</t>
        </is>
      </c>
      <c r="E16" s="16" t="inlineStr">
        <is>
          <t>4</t>
        </is>
      </c>
      <c r="F16" s="17" t="n">
        <v>1</v>
      </c>
      <c r="G16" s="17" t="n">
        <v>2</v>
      </c>
      <c r="H16" s="17" t="n">
        <v>2</v>
      </c>
      <c r="I16" s="47">
        <f>说明与总览!$B$21+VALUE(MID($A16,2,1))-1</f>
        <v/>
      </c>
      <c r="J16" s="17">
        <f>IF(AND($G16&lt;=1,$H16&gt;=1),"■■","")</f>
        <v/>
      </c>
      <c r="K16" s="17">
        <f>IF(AND($G16&lt;=2,$H16&gt;=2),"■■","")</f>
        <v/>
      </c>
      <c r="L16" s="17">
        <f>IF(AND($G16&lt;=3,$H16&gt;=3),"■■","")</f>
        <v/>
      </c>
      <c r="M16" s="17">
        <f>IF(AND($G16&lt;=4,$H16&gt;=4),"■■","")</f>
        <v/>
      </c>
      <c r="N16" s="17">
        <f>IF(AND($G16&lt;=5,$H16&gt;=5),"■■","")</f>
        <v/>
      </c>
      <c r="O16" s="17">
        <f>IF(AND($G16&lt;=6,$H16&gt;=6),"■■","")</f>
        <v/>
      </c>
      <c r="P16" s="17">
        <f>IF(AND($G16&lt;=7,$H16&gt;=7),"■■","")</f>
        <v/>
      </c>
      <c r="Q16" s="17">
        <f>IF(AND($G16&lt;=8,$H16&gt;=8),"■■","")</f>
        <v/>
      </c>
      <c r="R16" s="17">
        <f>IF(AND($G16&lt;=9,$H16&gt;=9),"■■","")</f>
        <v/>
      </c>
      <c r="S16" s="17">
        <f>IF(AND($G16&lt;=10,$H16&gt;=10),"■■","")</f>
        <v/>
      </c>
      <c r="T16" s="17">
        <f>IF(AND($G16&lt;=11,$H16&gt;=11),"■■","")</f>
        <v/>
      </c>
      <c r="U16" s="17">
        <f>IF(AND($G16&lt;=12,$H16&gt;=12),"■■","")</f>
        <v/>
      </c>
      <c r="V16" s="17">
        <f>IF(AND($G16&lt;=13,$H16&gt;=13),"■■","")</f>
        <v/>
      </c>
      <c r="W16" s="17">
        <f>IF(AND($G16&lt;=14,$H16&gt;=14),"■■","")</f>
        <v/>
      </c>
      <c r="X16" s="17">
        <f>IF(AND($G16&lt;=15,$H16&gt;=15),"■■","")</f>
        <v/>
      </c>
      <c r="Y16" s="17" t="n"/>
      <c r="Z16" s="17" t="n"/>
      <c r="AA16" s="17" t="n"/>
      <c r="AB16" s="16" t="inlineStr">
        <is>
          <t>两个账号权限边界验证通过</t>
        </is>
      </c>
      <c r="AC16" s="16" t="inlineStr">
        <is>
          <t>已完成</t>
        </is>
      </c>
      <c r="AD16" s="17">
        <f>IF($H16&lt;$G16,0,$F16/($H16-$G16+1))</f>
        <v/>
      </c>
    </row>
    <row r="17" ht="14.25" customHeight="1" s="11">
      <c r="A17" s="15" t="inlineStr">
        <is>
          <t>D1</t>
        </is>
      </c>
      <c r="B17" s="15" t="n">
        <v>14</v>
      </c>
      <c r="C17" s="16" t="inlineStr">
        <is>
          <t>配置 RDS 备份策略（PITR 7 天 + 全量/WAL 归档 OSS）</t>
        </is>
      </c>
      <c r="D17" s="15" t="inlineStr">
        <is>
          <t>人员B</t>
        </is>
      </c>
      <c r="E17" s="16" t="inlineStr">
        <is>
          <t>4,8</t>
        </is>
      </c>
      <c r="F17" s="17" t="n">
        <v>1</v>
      </c>
      <c r="G17" s="17" t="n">
        <v>2</v>
      </c>
      <c r="H17" s="17" t="n">
        <v>2</v>
      </c>
      <c r="I17" s="47">
        <f>说明与总览!$B$21+VALUE(MID($A17,2,1))-1</f>
        <v/>
      </c>
      <c r="J17" s="17">
        <f>IF(AND($G17&lt;=1,$H17&gt;=1),"■■","")</f>
        <v/>
      </c>
      <c r="K17" s="17">
        <f>IF(AND($G17&lt;=2,$H17&gt;=2),"■■","")</f>
        <v/>
      </c>
      <c r="L17" s="17">
        <f>IF(AND($G17&lt;=3,$H17&gt;=3),"■■","")</f>
        <v/>
      </c>
      <c r="M17" s="17">
        <f>IF(AND($G17&lt;=4,$H17&gt;=4),"■■","")</f>
        <v/>
      </c>
      <c r="N17" s="17">
        <f>IF(AND($G17&lt;=5,$H17&gt;=5),"■■","")</f>
        <v/>
      </c>
      <c r="O17" s="17">
        <f>IF(AND($G17&lt;=6,$H17&gt;=6),"■■","")</f>
        <v/>
      </c>
      <c r="P17" s="17">
        <f>IF(AND($G17&lt;=7,$H17&gt;=7),"■■","")</f>
        <v/>
      </c>
      <c r="Q17" s="17">
        <f>IF(AND($G17&lt;=8,$H17&gt;=8),"■■","")</f>
        <v/>
      </c>
      <c r="R17" s="17">
        <f>IF(AND($G17&lt;=9,$H17&gt;=9),"■■","")</f>
        <v/>
      </c>
      <c r="S17" s="17">
        <f>IF(AND($G17&lt;=10,$H17&gt;=10),"■■","")</f>
        <v/>
      </c>
      <c r="T17" s="17">
        <f>IF(AND($G17&lt;=11,$H17&gt;=11),"■■","")</f>
        <v/>
      </c>
      <c r="U17" s="17">
        <f>IF(AND($G17&lt;=12,$H17&gt;=12),"■■","")</f>
        <v/>
      </c>
      <c r="V17" s="17">
        <f>IF(AND($G17&lt;=13,$H17&gt;=13),"■■","")</f>
        <v/>
      </c>
      <c r="W17" s="17">
        <f>IF(AND($G17&lt;=14,$H17&gt;=14),"■■","")</f>
        <v/>
      </c>
      <c r="X17" s="17">
        <f>IF(AND($G17&lt;=15,$H17&gt;=15),"■■","")</f>
        <v/>
      </c>
      <c r="Y17" s="17" t="n"/>
      <c r="Z17" s="17" t="n"/>
      <c r="AA17" s="17" t="n"/>
      <c r="AB17" s="16" t="inlineStr">
        <is>
          <t>备份任务成功且有可恢复时间点</t>
        </is>
      </c>
      <c r="AC17" s="16" t="inlineStr">
        <is>
          <t>已完成</t>
        </is>
      </c>
      <c r="AD17" s="17">
        <f>IF($H17&lt;$G17,0,$F17/($H17-$G17+1))</f>
        <v/>
      </c>
    </row>
    <row r="18" ht="14.25" customHeight="1" s="11">
      <c r="A18" s="15" t="inlineStr">
        <is>
          <t>D2</t>
        </is>
      </c>
      <c r="B18" s="15" t="n">
        <v>15</v>
      </c>
      <c r="C18" s="16" t="inlineStr">
        <is>
          <t>开启 RDS 公网地址并限制白名单（仅新加坡 NAT EIP）</t>
        </is>
      </c>
      <c r="D18" s="15" t="inlineStr">
        <is>
          <t>人员B</t>
        </is>
      </c>
      <c r="E18" s="16" t="inlineStr">
        <is>
          <t>4,12</t>
        </is>
      </c>
      <c r="F18" s="17" t="n">
        <v>1</v>
      </c>
      <c r="G18" s="17" t="n">
        <v>4</v>
      </c>
      <c r="H18" s="17" t="n">
        <v>4</v>
      </c>
      <c r="I18" s="47">
        <f>说明与总览!$B$21+VALUE(MID($A18,2,1))-1</f>
        <v/>
      </c>
      <c r="J18" s="17">
        <f>IF(AND($G18&lt;=1,$H18&gt;=1),"■■","")</f>
        <v/>
      </c>
      <c r="K18" s="17">
        <f>IF(AND($G18&lt;=2,$H18&gt;=2),"■■","")</f>
        <v/>
      </c>
      <c r="L18" s="17">
        <f>IF(AND($G18&lt;=3,$H18&gt;=3),"■■","")</f>
        <v/>
      </c>
      <c r="M18" s="17">
        <f>IF(AND($G18&lt;=4,$H18&gt;=4),"■■","")</f>
        <v/>
      </c>
      <c r="N18" s="17">
        <f>IF(AND($G18&lt;=5,$H18&gt;=5),"■■","")</f>
        <v/>
      </c>
      <c r="O18" s="17">
        <f>IF(AND($G18&lt;=6,$H18&gt;=6),"■■","")</f>
        <v/>
      </c>
      <c r="P18" s="17">
        <f>IF(AND($G18&lt;=7,$H18&gt;=7),"■■","")</f>
        <v/>
      </c>
      <c r="Q18" s="17">
        <f>IF(AND($G18&lt;=8,$H18&gt;=8),"■■","")</f>
        <v/>
      </c>
      <c r="R18" s="17">
        <f>IF(AND($G18&lt;=9,$H18&gt;=9),"■■","")</f>
        <v/>
      </c>
      <c r="S18" s="17">
        <f>IF(AND($G18&lt;=10,$H18&gt;=10),"■■","")</f>
        <v/>
      </c>
      <c r="T18" s="17">
        <f>IF(AND($G18&lt;=11,$H18&gt;=11),"■■","")</f>
        <v/>
      </c>
      <c r="U18" s="17">
        <f>IF(AND($G18&lt;=12,$H18&gt;=12),"■■","")</f>
        <v/>
      </c>
      <c r="V18" s="17">
        <f>IF(AND($G18&lt;=13,$H18&gt;=13),"■■","")</f>
        <v/>
      </c>
      <c r="W18" s="17">
        <f>IF(AND($G18&lt;=14,$H18&gt;=14),"■■","")</f>
        <v/>
      </c>
      <c r="X18" s="17">
        <f>IF(AND($G18&lt;=15,$H18&gt;=15),"■■","")</f>
        <v/>
      </c>
      <c r="Y18" s="17" t="n"/>
      <c r="Z18" s="17" t="n"/>
      <c r="AA18" s="17" t="n"/>
      <c r="AB18" s="16" t="inlineStr">
        <is>
          <t>仅指定 EIP 可连通，强制 sslmode=verify-full</t>
        </is>
      </c>
      <c r="AC18" s="16" t="inlineStr">
        <is>
          <t>已完成</t>
        </is>
      </c>
      <c r="AD18" s="17">
        <f>IF($H18&lt;$G18,0,$F18/($H18-$G18+1))</f>
        <v/>
      </c>
    </row>
    <row r="19" ht="14.25" customHeight="1" s="11">
      <c r="A19" s="15" t="inlineStr">
        <is>
          <t>D1</t>
        </is>
      </c>
      <c r="B19" s="15" t="n">
        <v>16</v>
      </c>
      <c r="C19" s="16" t="inlineStr">
        <is>
          <t>创建马尼拉 ACR 企业版（单地域，F8 口径）并打通 CI 镜像推送</t>
        </is>
      </c>
      <c r="D19" s="15" t="inlineStr">
        <is>
          <t>人员B</t>
        </is>
      </c>
      <c r="E19" s="16" t="inlineStr">
        <is>
          <t>G2</t>
        </is>
      </c>
      <c r="F19" s="17" t="n">
        <v>1</v>
      </c>
      <c r="G19" s="17" t="n">
        <v>1</v>
      </c>
      <c r="H19" s="17" t="n">
        <v>1</v>
      </c>
      <c r="I19" s="47">
        <f>说明与总览!$B$21+VALUE(MID($A19,2,1))-1</f>
        <v/>
      </c>
      <c r="J19" s="17">
        <f>IF(AND($G19&lt;=1,$H19&gt;=1),"■■","")</f>
        <v/>
      </c>
      <c r="K19" s="17">
        <f>IF(AND($G19&lt;=2,$H19&gt;=2),"■■","")</f>
        <v/>
      </c>
      <c r="L19" s="17">
        <f>IF(AND($G19&lt;=3,$H19&gt;=3),"■■","")</f>
        <v/>
      </c>
      <c r="M19" s="17">
        <f>IF(AND($G19&lt;=4,$H19&gt;=4),"■■","")</f>
        <v/>
      </c>
      <c r="N19" s="17">
        <f>IF(AND($G19&lt;=5,$H19&gt;=5),"■■","")</f>
        <v/>
      </c>
      <c r="O19" s="17">
        <f>IF(AND($G19&lt;=6,$H19&gt;=6),"■■","")</f>
        <v/>
      </c>
      <c r="P19" s="17">
        <f>IF(AND($G19&lt;=7,$H19&gt;=7),"■■","")</f>
        <v/>
      </c>
      <c r="Q19" s="17">
        <f>IF(AND($G19&lt;=8,$H19&gt;=8),"■■","")</f>
        <v/>
      </c>
      <c r="R19" s="17">
        <f>IF(AND($G19&lt;=9,$H19&gt;=9),"■■","")</f>
        <v/>
      </c>
      <c r="S19" s="17">
        <f>IF(AND($G19&lt;=10,$H19&gt;=10),"■■","")</f>
        <v/>
      </c>
      <c r="T19" s="17">
        <f>IF(AND($G19&lt;=11,$H19&gt;=11),"■■","")</f>
        <v/>
      </c>
      <c r="U19" s="17">
        <f>IF(AND($G19&lt;=12,$H19&gt;=12),"■■","")</f>
        <v/>
      </c>
      <c r="V19" s="17">
        <f>IF(AND($G19&lt;=13,$H19&gt;=13),"■■","")</f>
        <v/>
      </c>
      <c r="W19" s="17">
        <f>IF(AND($G19&lt;=14,$H19&gt;=14),"■■","")</f>
        <v/>
      </c>
      <c r="X19" s="17">
        <f>IF(AND($G19&lt;=15,$H19&gt;=15),"■■","")</f>
        <v/>
      </c>
      <c r="Y19" s="17" t="n"/>
      <c r="Z19" s="17" t="n"/>
      <c r="AA19" s="17" t="n"/>
      <c r="AB19" s="16" t="inlineStr">
        <is>
          <t>主站从马尼拉 VPC 域名拉通（-vpc 端点已关联，实测 5 s）；备站跨区走同一仓库公网域名、同 digest（F8 单地域口径，2026-10-06 两地实测同 SHA）</t>
        </is>
      </c>
      <c r="AC19" s="16" t="inlineStr">
        <is>
          <t>已完成</t>
        </is>
      </c>
      <c r="AD19" s="17">
        <f>IF($H19&lt;$G19,0,$F19/($H19-$G19+1))</f>
        <v/>
      </c>
    </row>
    <row r="20" ht="28.5" customHeight="1" s="11">
      <c r="A20" s="15" t="inlineStr">
        <is>
          <t>D2</t>
        </is>
      </c>
      <c r="B20" s="15" t="n">
        <v>17</v>
      </c>
      <c r="C20" s="16" t="inlineStr">
        <is>
          <t>部署 Namespace / ConfigMap / Secret（**手工 Opaque Secret 注入**；卡片合并预置与正式两段，3 人时）</t>
        </is>
      </c>
      <c r="D20" s="15" t="inlineStr">
        <is>
          <t>人员B</t>
        </is>
      </c>
      <c r="E20" s="16" t="inlineStr">
        <is>
          <t>10</t>
        </is>
      </c>
      <c r="F20" s="17" t="n">
        <v>2</v>
      </c>
      <c r="G20" s="17" t="n">
        <v>4</v>
      </c>
      <c r="H20" s="17" t="n">
        <v>4</v>
      </c>
      <c r="I20" s="47">
        <f>说明与总览!$B$21+VALUE(MID($A20,2,1))-1</f>
        <v/>
      </c>
      <c r="J20" s="17">
        <f>IF(AND($G20&lt;=1,$H20&gt;=1),"■■","")</f>
        <v/>
      </c>
      <c r="K20" s="17">
        <f>IF(AND($G20&lt;=2,$H20&gt;=2),"■■","")</f>
        <v/>
      </c>
      <c r="L20" s="17">
        <f>IF(AND($G20&lt;=3,$H20&gt;=3),"■■","")</f>
        <v/>
      </c>
      <c r="M20" s="17">
        <f>IF(AND($G20&lt;=4,$H20&gt;=4),"■■","")</f>
        <v/>
      </c>
      <c r="N20" s="17">
        <f>IF(AND($G20&lt;=5,$H20&gt;=5),"■■","")</f>
        <v/>
      </c>
      <c r="O20" s="17">
        <f>IF(AND($G20&lt;=6,$H20&gt;=6),"■■","")</f>
        <v/>
      </c>
      <c r="P20" s="17">
        <f>IF(AND($G20&lt;=7,$H20&gt;=7),"■■","")</f>
        <v/>
      </c>
      <c r="Q20" s="17">
        <f>IF(AND($G20&lt;=8,$H20&gt;=8),"■■","")</f>
        <v/>
      </c>
      <c r="R20" s="17">
        <f>IF(AND($G20&lt;=9,$H20&gt;=9),"■■","")</f>
        <v/>
      </c>
      <c r="S20" s="17">
        <f>IF(AND($G20&lt;=10,$H20&gt;=10),"■■","")</f>
        <v/>
      </c>
      <c r="T20" s="17">
        <f>IF(AND($G20&lt;=11,$H20&gt;=11),"■■","")</f>
        <v/>
      </c>
      <c r="U20" s="17">
        <f>IF(AND($G20&lt;=12,$H20&gt;=12),"■■","")</f>
        <v/>
      </c>
      <c r="V20" s="17">
        <f>IF(AND($G20&lt;=13,$H20&gt;=13),"■■","")</f>
        <v/>
      </c>
      <c r="W20" s="17">
        <f>IF(AND($G20&lt;=14,$H20&gt;=14),"■■","")</f>
        <v/>
      </c>
      <c r="X20" s="17">
        <f>IF(AND($G20&lt;=15,$H20&gt;=15),"■■","")</f>
        <v/>
      </c>
      <c r="Y20" s="17" t="n"/>
      <c r="Z20" s="17" t="n"/>
      <c r="AA20" s="17" t="n"/>
      <c r="AB20" s="16" t="inlineStr">
        <is>
          <t>密钥不落 Git，注入后应用可正常启动（⚠ 核验方法要换：正则 grep 实测命中 18 不可作门禁，改「按值比对 = 0」）</t>
        </is>
      </c>
      <c r="AC20" s="16" t="inlineStr">
        <is>
          <t>已完成</t>
        </is>
      </c>
      <c r="AD20" s="17">
        <f>IF($H20&lt;$G20,0,$F20/($H20-$G20+1))</f>
        <v/>
      </c>
    </row>
    <row r="21" ht="28.5" customHeight="1" s="11">
      <c r="A21" s="15" t="inlineStr">
        <is>
          <t>D2</t>
        </is>
      </c>
      <c r="B21" s="15" t="n">
        <v>18</v>
      </c>
      <c r="C21" s="16" t="inlineStr">
        <is>
          <t>部署 master Deployment 并跑通 AutoMigrate（连续两次验幂等）</t>
        </is>
      </c>
      <c r="D21" s="15" t="inlineStr">
        <is>
          <t>人员B</t>
        </is>
      </c>
      <c r="E21" s="16" t="inlineStr">
        <is>
          <t>11,17</t>
        </is>
      </c>
      <c r="F21" s="17" t="n">
        <v>2</v>
      </c>
      <c r="G21" s="17" t="n">
        <v>6</v>
      </c>
      <c r="H21" s="17" t="n">
        <v>6</v>
      </c>
      <c r="I21" s="47">
        <f>说明与总览!$B$21+VALUE(MID($A21,2,1))-1</f>
        <v/>
      </c>
      <c r="J21" s="17">
        <f>IF(AND($G21&lt;=1,$H21&gt;=1),"■■","")</f>
        <v/>
      </c>
      <c r="K21" s="17">
        <f>IF(AND($G21&lt;=2,$H21&gt;=2),"■■","")</f>
        <v/>
      </c>
      <c r="L21" s="17">
        <f>IF(AND($G21&lt;=3,$H21&gt;=3),"■■","")</f>
        <v/>
      </c>
      <c r="M21" s="17">
        <f>IF(AND($G21&lt;=4,$H21&gt;=4),"■■","")</f>
        <v/>
      </c>
      <c r="N21" s="17">
        <f>IF(AND($G21&lt;=5,$H21&gt;=5),"■■","")</f>
        <v/>
      </c>
      <c r="O21" s="17">
        <f>IF(AND($G21&lt;=6,$H21&gt;=6),"■■","")</f>
        <v/>
      </c>
      <c r="P21" s="17">
        <f>IF(AND($G21&lt;=7,$H21&gt;=7),"■■","")</f>
        <v/>
      </c>
      <c r="Q21" s="17">
        <f>IF(AND($G21&lt;=8,$H21&gt;=8),"■■","")</f>
        <v/>
      </c>
      <c r="R21" s="17">
        <f>IF(AND($G21&lt;=9,$H21&gt;=9),"■■","")</f>
        <v/>
      </c>
      <c r="S21" s="17">
        <f>IF(AND($G21&lt;=10,$H21&gt;=10),"■■","")</f>
        <v/>
      </c>
      <c r="T21" s="17">
        <f>IF(AND($G21&lt;=11,$H21&gt;=11),"■■","")</f>
        <v/>
      </c>
      <c r="U21" s="17">
        <f>IF(AND($G21&lt;=12,$H21&gt;=12),"■■","")</f>
        <v/>
      </c>
      <c r="V21" s="17">
        <f>IF(AND($G21&lt;=13,$H21&gt;=13),"■■","")</f>
        <v/>
      </c>
      <c r="W21" s="17">
        <f>IF(AND($G21&lt;=14,$H21&gt;=14),"■■","")</f>
        <v/>
      </c>
      <c r="X21" s="17">
        <f>IF(AND($G21&lt;=15,$H21&gt;=15),"■■","")</f>
        <v/>
      </c>
      <c r="Y21" s="17" t="n"/>
      <c r="Z21" s="17" t="n"/>
      <c r="AA21" s="17" t="n"/>
      <c r="AB21" s="16" t="inlineStr">
        <is>
          <t>迁移两次结果幂等，无重复 ALTER</t>
        </is>
      </c>
      <c r="AC21" s="16" t="inlineStr">
        <is>
          <t>已完成</t>
        </is>
      </c>
      <c r="AD21" s="17">
        <f>IF($H21&lt;$G21,0,$F21/($H21-$G21+1))</f>
        <v/>
      </c>
    </row>
    <row r="22" ht="14.25" customHeight="1" s="11">
      <c r="A22" s="15" t="inlineStr">
        <is>
          <t>D2</t>
        </is>
      </c>
      <c r="B22" s="15" t="n">
        <v>19</v>
      </c>
      <c r="C22" s="16" t="inlineStr">
        <is>
          <t>创建马尼拉 ALB + AlbConfig + 健康检查</t>
        </is>
      </c>
      <c r="D22" s="15" t="inlineStr">
        <is>
          <t>人员A</t>
        </is>
      </c>
      <c r="E22" s="16" t="inlineStr">
        <is>
          <t>5,6</t>
        </is>
      </c>
      <c r="F22" s="17" t="n">
        <v>3</v>
      </c>
      <c r="G22" s="17" t="n">
        <v>4</v>
      </c>
      <c r="H22" s="17" t="n">
        <v>6</v>
      </c>
      <c r="I22" s="47">
        <f>说明与总览!$B$21+VALUE(MID($A22,2,1))-1</f>
        <v/>
      </c>
      <c r="J22" s="17">
        <f>IF(AND($G22&lt;=1,$H22&gt;=1),"■■","")</f>
        <v/>
      </c>
      <c r="K22" s="17">
        <f>IF(AND($G22&lt;=2,$H22&gt;=2),"■■","")</f>
        <v/>
      </c>
      <c r="L22" s="17">
        <f>IF(AND($G22&lt;=3,$H22&gt;=3),"■■","")</f>
        <v/>
      </c>
      <c r="M22" s="17">
        <f>IF(AND($G22&lt;=4,$H22&gt;=4),"■■","")</f>
        <v/>
      </c>
      <c r="N22" s="17">
        <f>IF(AND($G22&lt;=5,$H22&gt;=5),"■■","")</f>
        <v/>
      </c>
      <c r="O22" s="17">
        <f>IF(AND($G22&lt;=6,$H22&gt;=6),"■■","")</f>
        <v/>
      </c>
      <c r="P22" s="17">
        <f>IF(AND($G22&lt;=7,$H22&gt;=7),"■■","")</f>
        <v/>
      </c>
      <c r="Q22" s="17">
        <f>IF(AND($G22&lt;=8,$H22&gt;=8),"■■","")</f>
        <v/>
      </c>
      <c r="R22" s="17">
        <f>IF(AND($G22&lt;=9,$H22&gt;=9),"■■","")</f>
        <v/>
      </c>
      <c r="S22" s="17">
        <f>IF(AND($G22&lt;=10,$H22&gt;=10),"■■","")</f>
        <v/>
      </c>
      <c r="T22" s="17">
        <f>IF(AND($G22&lt;=11,$H22&gt;=11),"■■","")</f>
        <v/>
      </c>
      <c r="U22" s="17">
        <f>IF(AND($G22&lt;=12,$H22&gt;=12),"■■","")</f>
        <v/>
      </c>
      <c r="V22" s="17">
        <f>IF(AND($G22&lt;=13,$H22&gt;=13),"■■","")</f>
        <v/>
      </c>
      <c r="W22" s="17">
        <f>IF(AND($G22&lt;=14,$H22&gt;=14),"■■","")</f>
        <v/>
      </c>
      <c r="X22" s="17">
        <f>IF(AND($G22&lt;=15,$H22&gt;=15),"■■","")</f>
        <v/>
      </c>
      <c r="Y22" s="17" t="n"/>
      <c r="Z22" s="17" t="n"/>
      <c r="AA22" s="17" t="n"/>
      <c r="AB22" s="16" t="inlineStr">
        <is>
          <t>ALB 可访问 /api/status，超时参数符合 7.4.3</t>
        </is>
      </c>
      <c r="AC22" s="16" t="inlineStr">
        <is>
          <t>已完成（2026-10-12 闭合，V1–V5 全过：443 监听 + 证书链 + TLS 策略 + idle 60 / req 600 + HTTP→HTTPS 301）</t>
        </is>
      </c>
      <c r="AD22" s="17">
        <f>IF($H22&lt;$G22,0,$F22/($H22-$G22+1))</f>
        <v/>
      </c>
    </row>
    <row r="23" ht="14.25" customHeight="1" s="11">
      <c r="A23" s="15" t="inlineStr">
        <is>
          <t>D4</t>
        </is>
      </c>
      <c r="B23" s="15" t="n">
        <v>20</v>
      </c>
      <c r="C23" s="16" t="inlineStr">
        <is>
          <t>WAF 3.0 接入 + CC 策略 + 回调源 IP 白名单</t>
        </is>
      </c>
      <c r="D23" s="15" t="inlineStr">
        <is>
          <t>人员A</t>
        </is>
      </c>
      <c r="E23" s="16" t="inlineStr">
        <is>
          <t>19</t>
        </is>
      </c>
      <c r="F23" s="17" t="n">
        <v>1</v>
      </c>
      <c r="G23" s="17" t="n">
        <v>10</v>
      </c>
      <c r="H23" s="17" t="n">
        <v>10</v>
      </c>
      <c r="I23" s="47">
        <f>说明与总览!$B$21+VALUE(MID($A23,2,1))-1</f>
        <v/>
      </c>
      <c r="J23" s="17">
        <f>IF(AND($G23&lt;=1,$H23&gt;=1),"■■","")</f>
        <v/>
      </c>
      <c r="K23" s="17">
        <f>IF(AND($G23&lt;=2,$H23&gt;=2),"■■","")</f>
        <v/>
      </c>
      <c r="L23" s="17">
        <f>IF(AND($G23&lt;=3,$H23&gt;=3),"■■","")</f>
        <v/>
      </c>
      <c r="M23" s="17">
        <f>IF(AND($G23&lt;=4,$H23&gt;=4),"■■","")</f>
        <v/>
      </c>
      <c r="N23" s="17">
        <f>IF(AND($G23&lt;=5,$H23&gt;=5),"■■","")</f>
        <v/>
      </c>
      <c r="O23" s="17">
        <f>IF(AND($G23&lt;=6,$H23&gt;=6),"■■","")</f>
        <v/>
      </c>
      <c r="P23" s="17">
        <f>IF(AND($G23&lt;=7,$H23&gt;=7),"■■","")</f>
        <v/>
      </c>
      <c r="Q23" s="17">
        <f>IF(AND($G23&lt;=8,$H23&gt;=8),"■■","")</f>
        <v/>
      </c>
      <c r="R23" s="17">
        <f>IF(AND($G23&lt;=9,$H23&gt;=9),"■■","")</f>
        <v/>
      </c>
      <c r="S23" s="17">
        <f>IF(AND($G23&lt;=10,$H23&gt;=10),"■■","")</f>
        <v/>
      </c>
      <c r="T23" s="17">
        <f>IF(AND($G23&lt;=11,$H23&gt;=11),"■■","")</f>
        <v/>
      </c>
      <c r="U23" s="17">
        <f>IF(AND($G23&lt;=12,$H23&gt;=12),"■■","")</f>
        <v/>
      </c>
      <c r="V23" s="17">
        <f>IF(AND($G23&lt;=13,$H23&gt;=13),"■■","")</f>
        <v/>
      </c>
      <c r="W23" s="17">
        <f>IF(AND($G23&lt;=14,$H23&gt;=14),"■■","")</f>
        <v/>
      </c>
      <c r="X23" s="17">
        <f>IF(AND($G23&lt;=15,$H23&gt;=15),"■■","")</f>
        <v/>
      </c>
      <c r="Y23" s="17" t="n"/>
      <c r="Z23" s="17" t="n"/>
      <c r="AA23" s="17" t="n"/>
      <c r="AB23" s="16" t="inlineStr">
        <is>
          <t>⏸ 2026-10-12 裁定（F15）：本判据不执行——不采购 WAF ⇒「攻击场景被拦截」无判据对象；回调防护改由任务 48 两层验收（应用源 IP 白名单 + 签名校验）</t>
        </is>
      </c>
      <c r="AC23" s="16" t="inlineStr">
        <is>
          <t>⏸ 本轮不实施（2026-10-12 裁定 F15：不购买 WAF，暂缓非取消；任务 20 整体挂起，V1–V4 从上线门禁移出；复评条件＝业务量增长 / 真实攻击或 CC 事件）</t>
        </is>
      </c>
      <c r="AD23" s="17">
        <f>IF($H23&lt;$G23,0,$F23/($H23-$G23+1))</f>
        <v/>
      </c>
    </row>
    <row r="24" ht="14.25" customHeight="1" s="11">
      <c r="A24" s="15" t="inlineStr">
        <is>
          <t>D3</t>
        </is>
      </c>
      <c r="B24" s="15" t="n">
        <v>21</v>
      </c>
      <c r="C24" s="16" t="inlineStr">
        <is>
          <t>GTM 实例 + 地址池 + 健康探测（先只挂马尼拉）</t>
        </is>
      </c>
      <c r="D24" s="15" t="inlineStr">
        <is>
          <t>人员A</t>
        </is>
      </c>
      <c r="E24" s="16" t="inlineStr">
        <is>
          <t>19</t>
        </is>
      </c>
      <c r="F24" s="17" t="n">
        <v>2</v>
      </c>
      <c r="G24" s="17" t="n">
        <v>9</v>
      </c>
      <c r="H24" s="17" t="n">
        <v>9</v>
      </c>
      <c r="I24" s="47">
        <f>说明与总览!$B$21+VALUE(MID($A24,2,1))-1</f>
        <v/>
      </c>
      <c r="J24" s="17">
        <f>IF(AND($G24&lt;=1,$H24&gt;=1),"■■","")</f>
        <v/>
      </c>
      <c r="K24" s="17">
        <f>IF(AND($G24&lt;=2,$H24&gt;=2),"■■","")</f>
        <v/>
      </c>
      <c r="L24" s="17">
        <f>IF(AND($G24&lt;=3,$H24&gt;=3),"■■","")</f>
        <v/>
      </c>
      <c r="M24" s="17">
        <f>IF(AND($G24&lt;=4,$H24&gt;=4),"■■","")</f>
        <v/>
      </c>
      <c r="N24" s="17">
        <f>IF(AND($G24&lt;=5,$H24&gt;=5),"■■","")</f>
        <v/>
      </c>
      <c r="O24" s="17">
        <f>IF(AND($G24&lt;=6,$H24&gt;=6),"■■","")</f>
        <v/>
      </c>
      <c r="P24" s="17">
        <f>IF(AND($G24&lt;=7,$H24&gt;=7),"■■","")</f>
        <v/>
      </c>
      <c r="Q24" s="17">
        <f>IF(AND($G24&lt;=8,$H24&gt;=8),"■■","")</f>
        <v/>
      </c>
      <c r="R24" s="17">
        <f>IF(AND($G24&lt;=9,$H24&gt;=9),"■■","")</f>
        <v/>
      </c>
      <c r="S24" s="17">
        <f>IF(AND($G24&lt;=10,$H24&gt;=10),"■■","")</f>
        <v/>
      </c>
      <c r="T24" s="17">
        <f>IF(AND($G24&lt;=11,$H24&gt;=11),"■■","")</f>
        <v/>
      </c>
      <c r="U24" s="17">
        <f>IF(AND($G24&lt;=12,$H24&gt;=12),"■■","")</f>
        <v/>
      </c>
      <c r="V24" s="17">
        <f>IF(AND($G24&lt;=13,$H24&gt;=13),"■■","")</f>
        <v/>
      </c>
      <c r="W24" s="17">
        <f>IF(AND($G24&lt;=14,$H24&gt;=14),"■■","")</f>
        <v/>
      </c>
      <c r="X24" s="17">
        <f>IF(AND($G24&lt;=15,$H24&gt;=15),"■■","")</f>
        <v/>
      </c>
      <c r="Y24" s="17" t="n"/>
      <c r="Z24" s="17" t="n"/>
      <c r="AA24" s="17" t="n"/>
      <c r="AB24" s="16" t="inlineStr">
        <is>
          <t>探测正常且手工切换演练通过</t>
        </is>
      </c>
      <c r="AC24" s="16" t="inlineStr">
        <is>
          <t>未开始</t>
        </is>
      </c>
      <c r="AD24" s="17">
        <f>IF($H24&lt;$G24,0,$F24/($H24-$G24+1))</f>
        <v/>
      </c>
    </row>
    <row r="25" ht="14.25" customHeight="1" s="11">
      <c r="A25" s="15" t="inlineStr">
        <is>
          <t>D3</t>
        </is>
      </c>
      <c r="B25" s="15" t="n">
        <v>22</v>
      </c>
      <c r="C25" s="16" t="inlineStr">
        <is>
          <t>落地全部安全组与数据库白名单规则并逐条核对</t>
        </is>
      </c>
      <c r="D25" s="15" t="inlineStr">
        <is>
          <t>人员A</t>
        </is>
      </c>
      <c r="E25" s="16" t="inlineStr">
        <is>
          <t>6,11,19</t>
        </is>
      </c>
      <c r="F25" s="17" t="n">
        <v>2</v>
      </c>
      <c r="G25" s="17" t="n">
        <v>9</v>
      </c>
      <c r="H25" s="17" t="n">
        <v>9</v>
      </c>
      <c r="I25" s="47">
        <f>说明与总览!$B$21+VALUE(MID($A25,2,1))-1</f>
        <v/>
      </c>
      <c r="J25" s="17">
        <f>IF(AND($G25&lt;=1,$H25&gt;=1),"■■","")</f>
        <v/>
      </c>
      <c r="K25" s="17">
        <f>IF(AND($G25&lt;=2,$H25&gt;=2),"■■","")</f>
        <v/>
      </c>
      <c r="L25" s="17">
        <f>IF(AND($G25&lt;=3,$H25&gt;=3),"■■","")</f>
        <v/>
      </c>
      <c r="M25" s="17">
        <f>IF(AND($G25&lt;=4,$H25&gt;=4),"■■","")</f>
        <v/>
      </c>
      <c r="N25" s="17">
        <f>IF(AND($G25&lt;=5,$H25&gt;=5),"■■","")</f>
        <v/>
      </c>
      <c r="O25" s="17">
        <f>IF(AND($G25&lt;=6,$H25&gt;=6),"■■","")</f>
        <v/>
      </c>
      <c r="P25" s="17">
        <f>IF(AND($G25&lt;=7,$H25&gt;=7),"■■","")</f>
        <v/>
      </c>
      <c r="Q25" s="17">
        <f>IF(AND($G25&lt;=8,$H25&gt;=8),"■■","")</f>
        <v/>
      </c>
      <c r="R25" s="17">
        <f>IF(AND($G25&lt;=9,$H25&gt;=9),"■■","")</f>
        <v/>
      </c>
      <c r="S25" s="17">
        <f>IF(AND($G25&lt;=10,$H25&gt;=10),"■■","")</f>
        <v/>
      </c>
      <c r="T25" s="17">
        <f>IF(AND($G25&lt;=11,$H25&gt;=11),"■■","")</f>
        <v/>
      </c>
      <c r="U25" s="17">
        <f>IF(AND($G25&lt;=12,$H25&gt;=12),"■■","")</f>
        <v/>
      </c>
      <c r="V25" s="17">
        <f>IF(AND($G25&lt;=13,$H25&gt;=13),"■■","")</f>
        <v/>
      </c>
      <c r="W25" s="17">
        <f>IF(AND($G25&lt;=14,$H25&gt;=14),"■■","")</f>
        <v/>
      </c>
      <c r="X25" s="17">
        <f>IF(AND($G25&lt;=15,$H25&gt;=15),"■■","")</f>
        <v/>
      </c>
      <c r="Y25" s="17" t="n"/>
      <c r="Z25" s="17" t="n"/>
      <c r="AA25" s="17" t="n"/>
      <c r="AB25" s="16" t="inlineStr">
        <is>
          <t>端口最小化核对通过，无 0.0.0.0/0 入向规则</t>
        </is>
      </c>
      <c r="AC25" s="16" t="inlineStr">
        <is>
          <t>已完成</t>
        </is>
      </c>
      <c r="AD25" s="17">
        <f>IF($H25&lt;$G25,0,$F25/($H25-$G25+1))</f>
        <v/>
      </c>
    </row>
    <row r="26" ht="14.25" customHeight="1" s="11">
      <c r="A26" s="15" t="inlineStr">
        <is>
          <t>D3</t>
        </is>
      </c>
      <c r="B26" s="15" t="n">
        <v>23</v>
      </c>
      <c r="C26" s="16" t="inlineStr">
        <is>
          <t>部署 stable Deployment（4 副本）+ PDB/HPA + Pod 反亲和</t>
        </is>
      </c>
      <c r="D26" s="15" t="inlineStr">
        <is>
          <t>人员B</t>
        </is>
      </c>
      <c r="E26" s="16" t="inlineStr">
        <is>
          <t>18</t>
        </is>
      </c>
      <c r="F26" s="17" t="n">
        <v>8</v>
      </c>
      <c r="G26" s="17" t="n">
        <v>7</v>
      </c>
      <c r="H26" s="17" t="n">
        <v>8</v>
      </c>
      <c r="I26" s="47">
        <f>说明与总览!$B$21+VALUE(MID($A26,2,1))-1</f>
        <v/>
      </c>
      <c r="J26" s="17">
        <f>IF(AND($G26&lt;=1,$H26&gt;=1),"■■","")</f>
        <v/>
      </c>
      <c r="K26" s="17">
        <f>IF(AND($G26&lt;=2,$H26&gt;=2),"■■","")</f>
        <v/>
      </c>
      <c r="L26" s="17">
        <f>IF(AND($G26&lt;=3,$H26&gt;=3),"■■","")</f>
        <v/>
      </c>
      <c r="M26" s="17">
        <f>IF(AND($G26&lt;=4,$H26&gt;=4),"■■","")</f>
        <v/>
      </c>
      <c r="N26" s="17">
        <f>IF(AND($G26&lt;=5,$H26&gt;=5),"■■","")</f>
        <v/>
      </c>
      <c r="O26" s="17">
        <f>IF(AND($G26&lt;=6,$H26&gt;=6),"■■","")</f>
        <v/>
      </c>
      <c r="P26" s="17">
        <f>IF(AND($G26&lt;=7,$H26&gt;=7),"■■","")</f>
        <v/>
      </c>
      <c r="Q26" s="17">
        <f>IF(AND($G26&lt;=8,$H26&gt;=8),"■■","")</f>
        <v/>
      </c>
      <c r="R26" s="17">
        <f>IF(AND($G26&lt;=9,$H26&gt;=9),"■■","")</f>
        <v/>
      </c>
      <c r="S26" s="17">
        <f>IF(AND($G26&lt;=10,$H26&gt;=10),"■■","")</f>
        <v/>
      </c>
      <c r="T26" s="17">
        <f>IF(AND($G26&lt;=11,$H26&gt;=11),"■■","")</f>
        <v/>
      </c>
      <c r="U26" s="17">
        <f>IF(AND($G26&lt;=12,$H26&gt;=12),"■■","")</f>
        <v/>
      </c>
      <c r="V26" s="17">
        <f>IF(AND($G26&lt;=13,$H26&gt;=13),"■■","")</f>
        <v/>
      </c>
      <c r="W26" s="17">
        <f>IF(AND($G26&lt;=14,$H26&gt;=14),"■■","")</f>
        <v/>
      </c>
      <c r="X26" s="17">
        <f>IF(AND($G26&lt;=15,$H26&gt;=15),"■■","")</f>
        <v/>
      </c>
      <c r="Y26" s="17" t="n"/>
      <c r="Z26" s="17" t="n"/>
      <c r="AA26" s="17" t="n"/>
      <c r="AB26" s="16" t="inlineStr">
        <is>
          <t>Pod 跨 AZ 分布、maxUnavailable=0 生效。验收文字分两层：**AZ = `topologySpreadConstraints` 硬约束（`maxSkew 1` + `DoNotSchedule`，实测 6a/6b 各 2 满足）**；**节点 = `ScheduleAnyway` 软约束**（滚动后可两台 Pod 同落一台，非缺陷；要硬隔离须先扩节点池）。⚠ 另：HPA 缩容不经 Eviction API ⇒ PDB 拦不住自动缩容</t>
        </is>
      </c>
      <c r="AC26" s="16" t="inlineStr">
        <is>
          <t>部分交付（V4 阈值可达性与滚动期 5xx 未证）</t>
        </is>
      </c>
      <c r="AD26" s="17">
        <f>IF($H26&lt;$G26,0,$F26/($H26-$G26+1))</f>
        <v/>
      </c>
    </row>
    <row r="27" ht="14.25" customHeight="1" s="11">
      <c r="A27" s="15" t="inlineStr">
        <is>
          <t>D3</t>
        </is>
      </c>
      <c r="B27" s="15" t="n">
        <v>24</v>
      </c>
      <c r="C27" s="16" t="inlineStr">
        <is>
          <t>创建新加坡 ACK 集群 + 节点池（常态 2 节点）</t>
        </is>
      </c>
      <c r="D27" s="15" t="inlineStr">
        <is>
          <t>人员A</t>
        </is>
      </c>
      <c r="E27" s="16" t="inlineStr">
        <is>
          <t>12</t>
        </is>
      </c>
      <c r="F27" s="17" t="n">
        <v>4</v>
      </c>
      <c r="G27" s="17" t="n">
        <v>7</v>
      </c>
      <c r="H27" s="17" t="n">
        <v>7</v>
      </c>
      <c r="I27" s="47">
        <f>说明与总览!$B$21+VALUE(MID($A27,2,1))-1</f>
        <v/>
      </c>
      <c r="J27" s="17">
        <f>IF(AND($G27&lt;=1,$H27&gt;=1),"■■","")</f>
        <v/>
      </c>
      <c r="K27" s="17">
        <f>IF(AND($G27&lt;=2,$H27&gt;=2),"■■","")</f>
        <v/>
      </c>
      <c r="L27" s="17">
        <f>IF(AND($G27&lt;=3,$H27&gt;=3),"■■","")</f>
        <v/>
      </c>
      <c r="M27" s="17">
        <f>IF(AND($G27&lt;=4,$H27&gt;=4),"■■","")</f>
        <v/>
      </c>
      <c r="N27" s="17">
        <f>IF(AND($G27&lt;=5,$H27&gt;=5),"■■","")</f>
        <v/>
      </c>
      <c r="O27" s="17">
        <f>IF(AND($G27&lt;=6,$H27&gt;=6),"■■","")</f>
        <v/>
      </c>
      <c r="P27" s="17">
        <f>IF(AND($G27&lt;=7,$H27&gt;=7),"■■","")</f>
        <v/>
      </c>
      <c r="Q27" s="17">
        <f>IF(AND($G27&lt;=8,$H27&gt;=8),"■■","")</f>
        <v/>
      </c>
      <c r="R27" s="17">
        <f>IF(AND($G27&lt;=9,$H27&gt;=9),"■■","")</f>
        <v/>
      </c>
      <c r="S27" s="17">
        <f>IF(AND($G27&lt;=10,$H27&gt;=10),"■■","")</f>
        <v/>
      </c>
      <c r="T27" s="17">
        <f>IF(AND($G27&lt;=11,$H27&gt;=11),"■■","")</f>
        <v/>
      </c>
      <c r="U27" s="17">
        <f>IF(AND($G27&lt;=12,$H27&gt;=12),"■■","")</f>
        <v/>
      </c>
      <c r="V27" s="17">
        <f>IF(AND($G27&lt;=13,$H27&gt;=13),"■■","")</f>
        <v/>
      </c>
      <c r="W27" s="17">
        <f>IF(AND($G27&lt;=14,$H27&gt;=14),"■■","")</f>
        <v/>
      </c>
      <c r="X27" s="17">
        <f>IF(AND($G27&lt;=15,$H27&gt;=15),"■■","")</f>
        <v/>
      </c>
      <c r="Y27" s="17" t="n"/>
      <c r="Z27" s="17" t="n"/>
      <c r="AA27" s="17" t="n"/>
      <c r="AB27" s="16" t="inlineStr">
        <is>
          <t>节点 Ready 且可拉取镜像</t>
        </is>
      </c>
      <c r="AC27" s="16" t="inlineStr">
        <is>
          <t>已完成</t>
        </is>
      </c>
      <c r="AD27" s="17">
        <f>IF($H27&lt;$G27,0,$F27/($H27-$G27+1))</f>
        <v/>
      </c>
    </row>
    <row r="28" ht="14.25" customHeight="1" s="11">
      <c r="A28" s="15" t="inlineStr">
        <is>
          <t>D4</t>
        </is>
      </c>
      <c r="B28" s="15" t="n">
        <v>25</v>
      </c>
      <c r="C28" s="16" t="inlineStr">
        <is>
          <t>创建新加坡 ALB + Service / Ingress（PH 备）</t>
        </is>
      </c>
      <c r="D28" s="15" t="inlineStr">
        <is>
          <t>人员A</t>
        </is>
      </c>
      <c r="E28" s="16" t="inlineStr">
        <is>
          <t>19,24</t>
        </is>
      </c>
      <c r="F28" s="17" t="n">
        <v>2</v>
      </c>
      <c r="G28" s="17" t="n">
        <v>12</v>
      </c>
      <c r="H28" s="17" t="n">
        <v>12</v>
      </c>
      <c r="I28" s="47">
        <f>说明与总览!$B$21+VALUE(MID($A28,2,1))-1</f>
        <v/>
      </c>
      <c r="J28" s="17">
        <f>IF(AND($G28&lt;=1,$H28&gt;=1),"■■","")</f>
        <v/>
      </c>
      <c r="K28" s="17">
        <f>IF(AND($G28&lt;=2,$H28&gt;=2),"■■","")</f>
        <v/>
      </c>
      <c r="L28" s="17">
        <f>IF(AND($G28&lt;=3,$H28&gt;=3),"■■","")</f>
        <v/>
      </c>
      <c r="M28" s="17">
        <f>IF(AND($G28&lt;=4,$H28&gt;=4),"■■","")</f>
        <v/>
      </c>
      <c r="N28" s="17">
        <f>IF(AND($G28&lt;=5,$H28&gt;=5),"■■","")</f>
        <v/>
      </c>
      <c r="O28" s="17">
        <f>IF(AND($G28&lt;=6,$H28&gt;=6),"■■","")</f>
        <v/>
      </c>
      <c r="P28" s="17">
        <f>IF(AND($G28&lt;=7,$H28&gt;=7),"■■","")</f>
        <v/>
      </c>
      <c r="Q28" s="17">
        <f>IF(AND($G28&lt;=8,$H28&gt;=8),"■■","")</f>
        <v/>
      </c>
      <c r="R28" s="17">
        <f>IF(AND($G28&lt;=9,$H28&gt;=9),"■■","")</f>
        <v/>
      </c>
      <c r="S28" s="17">
        <f>IF(AND($G28&lt;=10,$H28&gt;=10),"■■","")</f>
        <v/>
      </c>
      <c r="T28" s="17">
        <f>IF(AND($G28&lt;=11,$H28&gt;=11),"■■","")</f>
        <v/>
      </c>
      <c r="U28" s="17">
        <f>IF(AND($G28&lt;=12,$H28&gt;=12),"■■","")</f>
        <v/>
      </c>
      <c r="V28" s="17">
        <f>IF(AND($G28&lt;=13,$H28&gt;=13),"■■","")</f>
        <v/>
      </c>
      <c r="W28" s="17">
        <f>IF(AND($G28&lt;=14,$H28&gt;=14),"■■","")</f>
        <v/>
      </c>
      <c r="X28" s="17">
        <f>IF(AND($G28&lt;=15,$H28&gt;=15),"■■","")</f>
        <v/>
      </c>
      <c r="Y28" s="17" t="n"/>
      <c r="Z28" s="17" t="n"/>
      <c r="AA28" s="17" t="n"/>
      <c r="AB28" s="16" t="inlineStr">
        <is>
          <t>备 region 入口可用且证书生效</t>
        </is>
      </c>
      <c r="AC28" s="16" t="inlineStr">
        <is>
          <t>已完成（2026-10-12 闭合：443 lsn-iqn5i233mvv7eu4u6w + 证书 Associated + rule-443-1 Host；sg.likha.hk 502 已修，根因是 443 监听缺 Host 规则落到 fake-svc 默认动作）</t>
        </is>
      </c>
      <c r="AD28" s="17">
        <f>IF($H28&lt;$G28,0,$F28/($H28-$G28+1))</f>
        <v/>
      </c>
    </row>
    <row r="29" ht="28.5" customHeight="1" s="11">
      <c r="A29" s="15" t="inlineStr">
        <is>
          <t>D4</t>
        </is>
      </c>
      <c r="B29" s="15" t="n">
        <v>26</v>
      </c>
      <c r="C29" s="16" t="inlineStr">
        <is>
          <t>接入 SLS / ARMS / Grafana 与云监控站点拨测（马尼拉 + 新加坡）</t>
        </is>
      </c>
      <c r="D29" s="15" t="inlineStr">
        <is>
          <t>人员A</t>
        </is>
      </c>
      <c r="E29" s="16" t="inlineStr">
        <is>
          <t>11</t>
        </is>
      </c>
      <c r="F29" s="17" t="n">
        <v>2</v>
      </c>
      <c r="G29" s="17" t="n">
        <v>12</v>
      </c>
      <c r="H29" s="17" t="n">
        <v>12</v>
      </c>
      <c r="I29" s="47">
        <f>说明与总览!$B$21+VALUE(MID($A29,2,1))-1</f>
        <v/>
      </c>
      <c r="J29" s="17">
        <f>IF(AND($G29&lt;=1,$H29&gt;=1),"■■","")</f>
        <v/>
      </c>
      <c r="K29" s="17">
        <f>IF(AND($G29&lt;=2,$H29&gt;=2),"■■","")</f>
        <v/>
      </c>
      <c r="L29" s="17">
        <f>IF(AND($G29&lt;=3,$H29&gt;=3),"■■","")</f>
        <v/>
      </c>
      <c r="M29" s="17">
        <f>IF(AND($G29&lt;=4,$H29&gt;=4),"■■","")</f>
        <v/>
      </c>
      <c r="N29" s="17">
        <f>IF(AND($G29&lt;=5,$H29&gt;=5),"■■","")</f>
        <v/>
      </c>
      <c r="O29" s="17">
        <f>IF(AND($G29&lt;=6,$H29&gt;=6),"■■","")</f>
        <v/>
      </c>
      <c r="P29" s="17">
        <f>IF(AND($G29&lt;=7,$H29&gt;=7),"■■","")</f>
        <v/>
      </c>
      <c r="Q29" s="17">
        <f>IF(AND($G29&lt;=8,$H29&gt;=8),"■■","")</f>
        <v/>
      </c>
      <c r="R29" s="17">
        <f>IF(AND($G29&lt;=9,$H29&gt;=9),"■■","")</f>
        <v/>
      </c>
      <c r="S29" s="17">
        <f>IF(AND($G29&lt;=10,$H29&gt;=10),"■■","")</f>
        <v/>
      </c>
      <c r="T29" s="17">
        <f>IF(AND($G29&lt;=11,$H29&gt;=11),"■■","")</f>
        <v/>
      </c>
      <c r="U29" s="17">
        <f>IF(AND($G29&lt;=12,$H29&gt;=12),"■■","")</f>
        <v/>
      </c>
      <c r="V29" s="17">
        <f>IF(AND($G29&lt;=13,$H29&gt;=13),"■■","")</f>
        <v/>
      </c>
      <c r="W29" s="17">
        <f>IF(AND($G29&lt;=14,$H29&gt;=14),"■■","")</f>
        <v/>
      </c>
      <c r="X29" s="17">
        <f>IF(AND($G29&lt;=15,$H29&gt;=15),"■■","")</f>
        <v/>
      </c>
      <c r="Y29" s="17" t="n"/>
      <c r="Z29" s="17" t="n"/>
      <c r="AA29" s="17" t="n"/>
      <c r="AB29" s="16" t="inlineStr">
        <is>
          <t>指标、日志、拨测与 Grafana 看板数据均可见</t>
        </is>
      </c>
      <c r="AC29" s="16" t="inlineStr">
        <is>
          <t>已完成（2026-10-10 判定 4/4：SLS / ARMS Prometheus / Grafana 工作区 gra-newapi-sg / 云监控站点监控 likha-hk-newapi-status，可用率 100%）</t>
        </is>
      </c>
      <c r="AD29" s="17">
        <f>IF($H29&lt;$G29,0,$F29/($H29-$G29+1))</f>
        <v/>
      </c>
    </row>
    <row r="30" ht="14.25" customHeight="1" s="11">
      <c r="A30" s="15" t="inlineStr">
        <is>
          <t>D3</t>
        </is>
      </c>
      <c r="B30" s="15" t="n">
        <v>27</v>
      </c>
      <c r="C30" s="16" t="inlineStr">
        <is>
          <t>部署 canary Deployment + 独立 Service/Ingress（权重 5）</t>
        </is>
      </c>
      <c r="D30" s="15" t="inlineStr">
        <is>
          <t>人员B</t>
        </is>
      </c>
      <c r="E30" s="16" t="inlineStr">
        <is>
          <t>18</t>
        </is>
      </c>
      <c r="F30" s="17" t="n">
        <v>2</v>
      </c>
      <c r="G30" s="17" t="n">
        <v>9</v>
      </c>
      <c r="H30" s="17" t="n">
        <v>9</v>
      </c>
      <c r="I30" s="47">
        <f>说明与总览!$B$21+VALUE(MID($A30,2,1))-1</f>
        <v/>
      </c>
      <c r="J30" s="17">
        <f>IF(AND($G30&lt;=1,$H30&gt;=1),"■■","")</f>
        <v/>
      </c>
      <c r="K30" s="17">
        <f>IF(AND($G30&lt;=2,$H30&gt;=2),"■■","")</f>
        <v/>
      </c>
      <c r="L30" s="17">
        <f>IF(AND($G30&lt;=3,$H30&gt;=3),"■■","")</f>
        <v/>
      </c>
      <c r="M30" s="17">
        <f>IF(AND($G30&lt;=4,$H30&gt;=4),"■■","")</f>
        <v/>
      </c>
      <c r="N30" s="17">
        <f>IF(AND($G30&lt;=5,$H30&gt;=5),"■■","")</f>
        <v/>
      </c>
      <c r="O30" s="17">
        <f>IF(AND($G30&lt;=6,$H30&gt;=6),"■■","")</f>
        <v/>
      </c>
      <c r="P30" s="17">
        <f>IF(AND($G30&lt;=7,$H30&gt;=7),"■■","")</f>
        <v/>
      </c>
      <c r="Q30" s="17">
        <f>IF(AND($G30&lt;=8,$H30&gt;=8),"■■","")</f>
        <v/>
      </c>
      <c r="R30" s="17">
        <f>IF(AND($G30&lt;=9,$H30&gt;=9),"■■","")</f>
        <v/>
      </c>
      <c r="S30" s="17">
        <f>IF(AND($G30&lt;=10,$H30&gt;=10),"■■","")</f>
        <v/>
      </c>
      <c r="T30" s="17">
        <f>IF(AND($G30&lt;=11,$H30&gt;=11),"■■","")</f>
        <v/>
      </c>
      <c r="U30" s="17">
        <f>IF(AND($G30&lt;=12,$H30&gt;=12),"■■","")</f>
        <v/>
      </c>
      <c r="V30" s="17">
        <f>IF(AND($G30&lt;=13,$H30&gt;=13),"■■","")</f>
        <v/>
      </c>
      <c r="W30" s="17">
        <f>IF(AND($G30&lt;=14,$H30&gt;=14),"■■","")</f>
        <v/>
      </c>
      <c r="X30" s="17">
        <f>IF(AND($G30&lt;=15,$H30&gt;=15),"■■","")</f>
        <v/>
      </c>
      <c r="Y30" s="17" t="n"/>
      <c r="Z30" s="17" t="n"/>
      <c r="AA30" s="17" t="n"/>
      <c r="AB30" s="16" t="inlineStr">
        <is>
          <t>canary-weight 5 生效且可归零</t>
        </is>
      </c>
      <c r="AC30" s="16" t="inlineStr">
        <is>
          <t>已完成（2026-10-12 已下发，V1–V6 全过；限定：5xx 阈值取 e5xx&gt;0 严于卡片口径、触发→推送链路未验属任务 32、alb_access 不含健康检查流量）</t>
        </is>
      </c>
      <c r="AD30" s="17">
        <f>IF($H30&lt;$G30,0,$F30/($H30-$G30+1))</f>
        <v/>
      </c>
    </row>
    <row r="31" ht="28.5" customHeight="1" s="11">
      <c r="A31" s="15" t="inlineStr">
        <is>
          <t>D3</t>
        </is>
      </c>
      <c r="B31" s="15" t="n">
        <v>28</v>
      </c>
      <c r="C31" s="16" t="inlineStr">
        <is>
          <t>部署 PH 备 Deployment + Secret（NODE_TYPE=slave、公网 verify-full DSN）</t>
        </is>
      </c>
      <c r="D31" s="15" t="inlineStr">
        <is>
          <t>人员B</t>
        </is>
      </c>
      <c r="E31" s="16" t="inlineStr">
        <is>
          <t>24,17</t>
        </is>
      </c>
      <c r="F31" s="17" t="n">
        <v>2</v>
      </c>
      <c r="G31" s="17" t="n">
        <v>9</v>
      </c>
      <c r="H31" s="17" t="n">
        <v>9</v>
      </c>
      <c r="I31" s="47">
        <f>说明与总览!$B$21+VALUE(MID($A31,2,1))-1</f>
        <v/>
      </c>
      <c r="J31" s="17">
        <f>IF(AND($G31&lt;=1,$H31&gt;=1),"■■","")</f>
        <v/>
      </c>
      <c r="K31" s="17">
        <f>IF(AND($G31&lt;=2,$H31&gt;=2),"■■","")</f>
        <v/>
      </c>
      <c r="L31" s="17">
        <f>IF(AND($G31&lt;=3,$H31&gt;=3),"■■","")</f>
        <v/>
      </c>
      <c r="M31" s="17">
        <f>IF(AND($G31&lt;=4,$H31&gt;=4),"■■","")</f>
        <v/>
      </c>
      <c r="N31" s="17">
        <f>IF(AND($G31&lt;=5,$H31&gt;=5),"■■","")</f>
        <v/>
      </c>
      <c r="O31" s="17">
        <f>IF(AND($G31&lt;=6,$H31&gt;=6),"■■","")</f>
        <v/>
      </c>
      <c r="P31" s="17">
        <f>IF(AND($G31&lt;=7,$H31&gt;=7),"■■","")</f>
        <v/>
      </c>
      <c r="Q31" s="17">
        <f>IF(AND($G31&lt;=8,$H31&gt;=8),"■■","")</f>
        <v/>
      </c>
      <c r="R31" s="17">
        <f>IF(AND($G31&lt;=9,$H31&gt;=9),"■■","")</f>
        <v/>
      </c>
      <c r="S31" s="17">
        <f>IF(AND($G31&lt;=10,$H31&gt;=10),"■■","")</f>
        <v/>
      </c>
      <c r="T31" s="17">
        <f>IF(AND($G31&lt;=11,$H31&gt;=11),"■■","")</f>
        <v/>
      </c>
      <c r="U31" s="17">
        <f>IF(AND($G31&lt;=12,$H31&gt;=12),"■■","")</f>
        <v/>
      </c>
      <c r="V31" s="17">
        <f>IF(AND($G31&lt;=13,$H31&gt;=13),"■■","")</f>
        <v/>
      </c>
      <c r="W31" s="17">
        <f>IF(AND($G31&lt;=14,$H31&gt;=14),"■■","")</f>
        <v/>
      </c>
      <c r="X31" s="17">
        <f>IF(AND($G31&lt;=15,$H31&gt;=15),"■■","")</f>
        <v/>
      </c>
      <c r="Y31" s="17" t="n"/>
      <c r="Z31" s="17" t="n"/>
      <c r="AA31" s="17" t="n"/>
      <c r="AB31" s="16" t="inlineStr">
        <is>
          <t>Pod Ready 且 NODE_TYPE=slave</t>
        </is>
      </c>
      <c r="AC31" s="16" t="inlineStr">
        <is>
          <t>部分交付（V1–V3 ✅；V4 会话互通仍未实测——原「阻塞于任务 25 的 SG ALB」这一前提已随任务 25 于 2026-10-12 闭合而消失）</t>
        </is>
      </c>
      <c r="AD31" s="17">
        <f>IF($H31&lt;$G31,0,$F31/($H31-$G31+1))</f>
        <v/>
      </c>
    </row>
    <row r="32" ht="14.25" customHeight="1" s="11">
      <c r="A32" s="15" t="inlineStr">
        <is>
          <t>D4</t>
        </is>
      </c>
      <c r="B32" s="15" t="n">
        <v>29</v>
      </c>
      <c r="C32" s="16" t="inlineStr">
        <is>
          <t>部署备 region 本地 Tair / ClickHouse + 日志采集</t>
        </is>
      </c>
      <c r="D32" s="15" t="inlineStr">
        <is>
          <t>人员B</t>
        </is>
      </c>
      <c r="E32" s="16" t="inlineStr">
        <is>
          <t>28</t>
        </is>
      </c>
      <c r="F32" s="17" t="n">
        <v>2</v>
      </c>
      <c r="G32" s="17" t="n">
        <v>10</v>
      </c>
      <c r="H32" s="17" t="n">
        <v>10</v>
      </c>
      <c r="I32" s="47">
        <f>说明与总览!$B$21+VALUE(MID($A32,2,1))-1</f>
        <v/>
      </c>
      <c r="J32" s="17">
        <f>IF(AND($G32&lt;=1,$H32&gt;=1),"■■","")</f>
        <v/>
      </c>
      <c r="K32" s="17">
        <f>IF(AND($G32&lt;=2,$H32&gt;=2),"■■","")</f>
        <v/>
      </c>
      <c r="L32" s="17">
        <f>IF(AND($G32&lt;=3,$H32&gt;=3),"■■","")</f>
        <v/>
      </c>
      <c r="M32" s="17">
        <f>IF(AND($G32&lt;=4,$H32&gt;=4),"■■","")</f>
        <v/>
      </c>
      <c r="N32" s="17">
        <f>IF(AND($G32&lt;=5,$H32&gt;=5),"■■","")</f>
        <v/>
      </c>
      <c r="O32" s="17">
        <f>IF(AND($G32&lt;=6,$H32&gt;=6),"■■","")</f>
        <v/>
      </c>
      <c r="P32" s="17">
        <f>IF(AND($G32&lt;=7,$H32&gt;=7),"■■","")</f>
        <v/>
      </c>
      <c r="Q32" s="17">
        <f>IF(AND($G32&lt;=8,$H32&gt;=8),"■■","")</f>
        <v/>
      </c>
      <c r="R32" s="17">
        <f>IF(AND($G32&lt;=9,$H32&gt;=9),"■■","")</f>
        <v/>
      </c>
      <c r="S32" s="17">
        <f>IF(AND($G32&lt;=10,$H32&gt;=10),"■■","")</f>
        <v/>
      </c>
      <c r="T32" s="17">
        <f>IF(AND($G32&lt;=11,$H32&gt;=11),"■■","")</f>
        <v/>
      </c>
      <c r="U32" s="17">
        <f>IF(AND($G32&lt;=12,$H32&gt;=12),"■■","")</f>
        <v/>
      </c>
      <c r="V32" s="17">
        <f>IF(AND($G32&lt;=13,$H32&gt;=13),"■■","")</f>
        <v/>
      </c>
      <c r="W32" s="17">
        <f>IF(AND($G32&lt;=14,$H32&gt;=14),"■■","")</f>
        <v/>
      </c>
      <c r="X32" s="17">
        <f>IF(AND($G32&lt;=15,$H32&gt;=15),"■■","")</f>
        <v/>
      </c>
      <c r="Y32" s="17" t="n"/>
      <c r="Z32" s="17" t="n"/>
      <c r="AA32" s="17" t="n"/>
      <c r="AB32" s="16" t="inlineStr">
        <is>
          <t>本地缓存与日志写入正常</t>
        </is>
      </c>
      <c r="AC32" s="16" t="inlineStr">
        <is>
          <t>部分交付（2026-10-12：第 1 步新加坡 Tair r-gs5ltv3m4i3655besh 已实购并接线、备站 Redis 已启用；日志库按 F9 收口马尼拉 CK、跨区写已实测在位；原「余额 0 / Trade_Not_Support_Async_Pay」已解除）</t>
        </is>
      </c>
      <c r="AD32" s="17">
        <f>IF($H32&lt;$G32,0,$F32/($H32-$G32+1))</f>
        <v/>
      </c>
    </row>
    <row r="33" ht="14.25" customHeight="1" s="11">
      <c r="A33" s="15" t="inlineStr">
        <is>
          <t>D4</t>
        </is>
      </c>
      <c r="B33" s="15" t="n">
        <v>30</v>
      </c>
      <c r="C33" s="16" t="inlineStr">
        <is>
          <t>打通备 region → 马尼拉 RDS 公网读写并实测 RTT</t>
        </is>
      </c>
      <c r="D33" s="15" t="inlineStr">
        <is>
          <t>人员B</t>
        </is>
      </c>
      <c r="E33" s="16" t="inlineStr">
        <is>
          <t>28,15</t>
        </is>
      </c>
      <c r="F33" s="17" t="n">
        <v>2</v>
      </c>
      <c r="G33" s="17" t="n">
        <v>10</v>
      </c>
      <c r="H33" s="17" t="n">
        <v>10</v>
      </c>
      <c r="I33" s="47">
        <f>说明与总览!$B$21+VALUE(MID($A33,2,1))-1</f>
        <v/>
      </c>
      <c r="J33" s="17">
        <f>IF(AND($G33&lt;=1,$H33&gt;=1),"■■","")</f>
        <v/>
      </c>
      <c r="K33" s="17">
        <f>IF(AND($G33&lt;=2,$H33&gt;=2),"■■","")</f>
        <v/>
      </c>
      <c r="L33" s="17">
        <f>IF(AND($G33&lt;=3,$H33&gt;=3),"■■","")</f>
        <v/>
      </c>
      <c r="M33" s="17">
        <f>IF(AND($G33&lt;=4,$H33&gt;=4),"■■","")</f>
        <v/>
      </c>
      <c r="N33" s="17">
        <f>IF(AND($G33&lt;=5,$H33&gt;=5),"■■","")</f>
        <v/>
      </c>
      <c r="O33" s="17">
        <f>IF(AND($G33&lt;=6,$H33&gt;=6),"■■","")</f>
        <v/>
      </c>
      <c r="P33" s="17">
        <f>IF(AND($G33&lt;=7,$H33&gt;=7),"■■","")</f>
        <v/>
      </c>
      <c r="Q33" s="17">
        <f>IF(AND($G33&lt;=8,$H33&gt;=8),"■■","")</f>
        <v/>
      </c>
      <c r="R33" s="17">
        <f>IF(AND($G33&lt;=9,$H33&gt;=9),"■■","")</f>
        <v/>
      </c>
      <c r="S33" s="17">
        <f>IF(AND($G33&lt;=10,$H33&gt;=10),"■■","")</f>
        <v/>
      </c>
      <c r="T33" s="17">
        <f>IF(AND($G33&lt;=11,$H33&gt;=11),"■■","")</f>
        <v/>
      </c>
      <c r="U33" s="17">
        <f>IF(AND($G33&lt;=12,$H33&gt;=12),"■■","")</f>
        <v/>
      </c>
      <c r="V33" s="17">
        <f>IF(AND($G33&lt;=13,$H33&gt;=13),"■■","")</f>
        <v/>
      </c>
      <c r="W33" s="17">
        <f>IF(AND($G33&lt;=14,$H33&gt;=14),"■■","")</f>
        <v/>
      </c>
      <c r="X33" s="17">
        <f>IF(AND($G33&lt;=15,$H33&gt;=15),"■■","")</f>
        <v/>
      </c>
      <c r="Y33" s="17" t="n"/>
      <c r="Z33" s="17" t="n"/>
      <c r="AA33" s="17" t="n"/>
      <c r="AB33" s="16" t="inlineStr">
        <is>
          <t>读写成功，连接 RTT ≤ 70 ms</t>
        </is>
      </c>
      <c r="AC33" s="16" t="inlineStr">
        <is>
          <t>已完成</t>
        </is>
      </c>
      <c r="AD33" s="17">
        <f>IF($H33&lt;$G33,0,$F33/($H33-$G33+1))</f>
        <v/>
      </c>
    </row>
    <row r="34" ht="14.25" customHeight="1" s="11">
      <c r="A34" s="15" t="inlineStr">
        <is>
          <t>D4</t>
        </is>
      </c>
      <c r="B34" s="15" t="n">
        <v>31</v>
      </c>
      <c r="C34" s="16" t="inlineStr">
        <is>
          <t>灰度发布演练（5→20→50→100 与回滚）</t>
        </is>
      </c>
      <c r="D34" s="15" t="inlineStr">
        <is>
          <t>人员A</t>
        </is>
      </c>
      <c r="E34" s="16" t="inlineStr">
        <is>
          <t>23,27</t>
        </is>
      </c>
      <c r="F34" s="17" t="n">
        <v>3</v>
      </c>
      <c r="G34" s="17" t="n">
        <v>10</v>
      </c>
      <c r="H34" s="17" t="n">
        <v>10</v>
      </c>
      <c r="I34" s="47">
        <f>说明与总览!$B$21+VALUE(MID($A34,2,1))-1</f>
        <v/>
      </c>
      <c r="J34" s="17">
        <f>IF(AND($G34&lt;=1,$H34&gt;=1),"■■","")</f>
        <v/>
      </c>
      <c r="K34" s="17">
        <f>IF(AND($G34&lt;=2,$H34&gt;=2),"■■","")</f>
        <v/>
      </c>
      <c r="L34" s="17">
        <f>IF(AND($G34&lt;=3,$H34&gt;=3),"■■","")</f>
        <v/>
      </c>
      <c r="M34" s="17">
        <f>IF(AND($G34&lt;=4,$H34&gt;=4),"■■","")</f>
        <v/>
      </c>
      <c r="N34" s="17">
        <f>IF(AND($G34&lt;=5,$H34&gt;=5),"■■","")</f>
        <v/>
      </c>
      <c r="O34" s="17">
        <f>IF(AND($G34&lt;=6,$H34&gt;=6),"■■","")</f>
        <v/>
      </c>
      <c r="P34" s="17">
        <f>IF(AND($G34&lt;=7,$H34&gt;=7),"■■","")</f>
        <v/>
      </c>
      <c r="Q34" s="17">
        <f>IF(AND($G34&lt;=8,$H34&gt;=8),"■■","")</f>
        <v/>
      </c>
      <c r="R34" s="17">
        <f>IF(AND($G34&lt;=9,$H34&gt;=9),"■■","")</f>
        <v/>
      </c>
      <c r="S34" s="17">
        <f>IF(AND($G34&lt;=10,$H34&gt;=10),"■■","")</f>
        <v/>
      </c>
      <c r="T34" s="17">
        <f>IF(AND($G34&lt;=11,$H34&gt;=11),"■■","")</f>
        <v/>
      </c>
      <c r="U34" s="17">
        <f>IF(AND($G34&lt;=12,$H34&gt;=12),"■■","")</f>
        <v/>
      </c>
      <c r="V34" s="17">
        <f>IF(AND($G34&lt;=13,$H34&gt;=13),"■■","")</f>
        <v/>
      </c>
      <c r="W34" s="17">
        <f>IF(AND($G34&lt;=14,$H34&gt;=14),"■■","")</f>
        <v/>
      </c>
      <c r="X34" s="17">
        <f>IF(AND($G34&lt;=15,$H34&gt;=15),"■■","")</f>
        <v/>
      </c>
      <c r="Y34" s="17" t="n"/>
      <c r="Z34" s="17" t="n"/>
      <c r="AA34" s="17" t="n"/>
      <c r="AB34" s="16" t="inlineStr">
        <is>
          <t>回滚从触发到权重归零 ≤ 60s</t>
        </is>
      </c>
      <c r="AC34" s="16" t="inlineStr">
        <is>
          <t>未开始</t>
        </is>
      </c>
      <c r="AD34" s="17">
        <f>IF($H34&lt;$G34,0,$F34/($H34-$G34+1))</f>
        <v/>
      </c>
    </row>
    <row r="35" ht="14.25" customHeight="1" s="11">
      <c r="A35" s="15" t="inlineStr">
        <is>
          <t>D5</t>
        </is>
      </c>
      <c r="B35" s="15" t="n">
        <v>32</v>
      </c>
      <c r="C35" s="16" t="inlineStr">
        <is>
          <t>SLO / 错误预算看板 + 告警规则与值班通道（P1 走电话）</t>
        </is>
      </c>
      <c r="D35" s="15" t="inlineStr">
        <is>
          <t>人员A</t>
        </is>
      </c>
      <c r="E35" s="16" t="inlineStr">
        <is>
          <t>26</t>
        </is>
      </c>
      <c r="F35" s="17" t="n">
        <v>1</v>
      </c>
      <c r="G35" s="17" t="n">
        <v>14</v>
      </c>
      <c r="H35" s="17" t="n">
        <v>14</v>
      </c>
      <c r="I35" s="47">
        <f>说明与总览!$B$21+VALUE(MID($A35,2,1))-1</f>
        <v/>
      </c>
      <c r="J35" s="17">
        <f>IF(AND($G35&lt;=1,$H35&gt;=1),"■■","")</f>
        <v/>
      </c>
      <c r="K35" s="17">
        <f>IF(AND($G35&lt;=2,$H35&gt;=2),"■■","")</f>
        <v/>
      </c>
      <c r="L35" s="17">
        <f>IF(AND($G35&lt;=3,$H35&gt;=3),"■■","")</f>
        <v/>
      </c>
      <c r="M35" s="17">
        <f>IF(AND($G35&lt;=4,$H35&gt;=4),"■■","")</f>
        <v/>
      </c>
      <c r="N35" s="17">
        <f>IF(AND($G35&lt;=5,$H35&gt;=5),"■■","")</f>
        <v/>
      </c>
      <c r="O35" s="17">
        <f>IF(AND($G35&lt;=6,$H35&gt;=6),"■■","")</f>
        <v/>
      </c>
      <c r="P35" s="17">
        <f>IF(AND($G35&lt;=7,$H35&gt;=7),"■■","")</f>
        <v/>
      </c>
      <c r="Q35" s="17">
        <f>IF(AND($G35&lt;=8,$H35&gt;=8),"■■","")</f>
        <v/>
      </c>
      <c r="R35" s="17">
        <f>IF(AND($G35&lt;=9,$H35&gt;=9),"■■","")</f>
        <v/>
      </c>
      <c r="S35" s="17">
        <f>IF(AND($G35&lt;=10,$H35&gt;=10),"■■","")</f>
        <v/>
      </c>
      <c r="T35" s="17">
        <f>IF(AND($G35&lt;=11,$H35&gt;=11),"■■","")</f>
        <v/>
      </c>
      <c r="U35" s="17">
        <f>IF(AND($G35&lt;=12,$H35&gt;=12),"■■","")</f>
        <v/>
      </c>
      <c r="V35" s="17">
        <f>IF(AND($G35&lt;=13,$H35&gt;=13),"■■","")</f>
        <v/>
      </c>
      <c r="W35" s="17">
        <f>IF(AND($G35&lt;=14,$H35&gt;=14),"■■","")</f>
        <v/>
      </c>
      <c r="X35" s="17">
        <f>IF(AND($G35&lt;=15,$H35&gt;=15),"■■","")</f>
        <v/>
      </c>
      <c r="Y35" s="17" t="n"/>
      <c r="Z35" s="17" t="n"/>
      <c r="AA35" s="17" t="n"/>
      <c r="AB35" s="16" t="inlineStr">
        <is>
          <t>看板数据正确，告警可触发并升级</t>
        </is>
      </c>
      <c r="AC35" s="16" t="inlineStr">
        <is>
          <t>未开始</t>
        </is>
      </c>
      <c r="AD35" s="17">
        <f>IF($H35&lt;$G35,0,$F35/($H35-$G35+1))</f>
        <v/>
      </c>
    </row>
    <row r="36" ht="14.25" customHeight="1" s="11">
      <c r="A36" s="15" t="inlineStr">
        <is>
          <t>D4</t>
        </is>
      </c>
      <c r="B36" s="15" t="n">
        <v>33</v>
      </c>
      <c r="C36" s="16" t="inlineStr">
        <is>
          <t>容量与压测验收（并发 SSE 1500 / 管理面 800 QPS）</t>
        </is>
      </c>
      <c r="D36" s="15" t="inlineStr">
        <is>
          <t>人员A</t>
        </is>
      </c>
      <c r="E36" s="16" t="inlineStr">
        <is>
          <t>23,45</t>
        </is>
      </c>
      <c r="F36" s="17" t="n">
        <v>2</v>
      </c>
      <c r="G36" s="17" t="n">
        <v>11</v>
      </c>
      <c r="H36" s="17" t="n">
        <v>11</v>
      </c>
      <c r="I36" s="47">
        <f>说明与总览!$B$21+VALUE(MID($A36,2,1))-1</f>
        <v/>
      </c>
      <c r="J36" s="17">
        <f>IF(AND($G36&lt;=1,$H36&gt;=1),"■■","")</f>
        <v/>
      </c>
      <c r="K36" s="17">
        <f>IF(AND($G36&lt;=2,$H36&gt;=2),"■■","")</f>
        <v/>
      </c>
      <c r="L36" s="17">
        <f>IF(AND($G36&lt;=3,$H36&gt;=3),"■■","")</f>
        <v/>
      </c>
      <c r="M36" s="17">
        <f>IF(AND($G36&lt;=4,$H36&gt;=4),"■■","")</f>
        <v/>
      </c>
      <c r="N36" s="17">
        <f>IF(AND($G36&lt;=5,$H36&gt;=5),"■■","")</f>
        <v/>
      </c>
      <c r="O36" s="17">
        <f>IF(AND($G36&lt;=6,$H36&gt;=6),"■■","")</f>
        <v/>
      </c>
      <c r="P36" s="17">
        <f>IF(AND($G36&lt;=7,$H36&gt;=7),"■■","")</f>
        <v/>
      </c>
      <c r="Q36" s="17">
        <f>IF(AND($G36&lt;=8,$H36&gt;=8),"■■","")</f>
        <v/>
      </c>
      <c r="R36" s="17">
        <f>IF(AND($G36&lt;=9,$H36&gt;=9),"■■","")</f>
        <v/>
      </c>
      <c r="S36" s="17">
        <f>IF(AND($G36&lt;=10,$H36&gt;=10),"■■","")</f>
        <v/>
      </c>
      <c r="T36" s="17">
        <f>IF(AND($G36&lt;=11,$H36&gt;=11),"■■","")</f>
        <v/>
      </c>
      <c r="U36" s="17">
        <f>IF(AND($G36&lt;=12,$H36&gt;=12),"■■","")</f>
        <v/>
      </c>
      <c r="V36" s="17">
        <f>IF(AND($G36&lt;=13,$H36&gt;=13),"■■","")</f>
        <v/>
      </c>
      <c r="W36" s="17">
        <f>IF(AND($G36&lt;=14,$H36&gt;=14),"■■","")</f>
        <v/>
      </c>
      <c r="X36" s="17">
        <f>IF(AND($G36&lt;=15,$H36&gt;=15),"■■","")</f>
        <v/>
      </c>
      <c r="Y36" s="17" t="n"/>
      <c r="Z36" s="17" t="n"/>
      <c r="AA36" s="17" t="n"/>
      <c r="AB36" s="16" t="inlineStr">
        <is>
          <t>达到单实例基线，劣化 ≤ 10%</t>
        </is>
      </c>
      <c r="AC36" s="16" t="inlineStr">
        <is>
          <t>未开始</t>
        </is>
      </c>
      <c r="AD36" s="17">
        <f>IF($H36&lt;$G36,0,$F36/($H36-$G36+1))</f>
        <v/>
      </c>
    </row>
    <row r="37" ht="28.5" customHeight="1" s="11">
      <c r="A37" s="15" t="inlineStr">
        <is>
          <t>D5</t>
        </is>
      </c>
      <c r="B37" s="15" t="n">
        <v>34</v>
      </c>
      <c r="C37" s="16" t="inlineStr">
        <is>
          <t>上线检查表、发布窗口冻结与正式上线</t>
        </is>
      </c>
      <c r="D37" s="15" t="inlineStr">
        <is>
          <t>人员A</t>
        </is>
      </c>
      <c r="E37" s="16" t="inlineStr">
        <is>
          <t>31,33,36,37,38</t>
        </is>
      </c>
      <c r="F37" s="17" t="n">
        <v>1</v>
      </c>
      <c r="G37" s="17" t="n">
        <v>13</v>
      </c>
      <c r="H37" s="17" t="n">
        <v>13</v>
      </c>
      <c r="I37" s="47">
        <f>说明与总览!$B$21+VALUE(MID($A37,2,1))-1</f>
        <v/>
      </c>
      <c r="J37" s="17">
        <f>IF(AND($G37&lt;=1,$H37&gt;=1),"■■","")</f>
        <v/>
      </c>
      <c r="K37" s="17">
        <f>IF(AND($G37&lt;=2,$H37&gt;=2),"■■","")</f>
        <v/>
      </c>
      <c r="L37" s="17">
        <f>IF(AND($G37&lt;=3,$H37&gt;=3),"■■","")</f>
        <v/>
      </c>
      <c r="M37" s="17">
        <f>IF(AND($G37&lt;=4,$H37&gt;=4),"■■","")</f>
        <v/>
      </c>
      <c r="N37" s="17">
        <f>IF(AND($G37&lt;=5,$H37&gt;=5),"■■","")</f>
        <v/>
      </c>
      <c r="O37" s="17">
        <f>IF(AND($G37&lt;=6,$H37&gt;=6),"■■","")</f>
        <v/>
      </c>
      <c r="P37" s="17">
        <f>IF(AND($G37&lt;=7,$H37&gt;=7),"■■","")</f>
        <v/>
      </c>
      <c r="Q37" s="17">
        <f>IF(AND($G37&lt;=8,$H37&gt;=8),"■■","")</f>
        <v/>
      </c>
      <c r="R37" s="17">
        <f>IF(AND($G37&lt;=9,$H37&gt;=9),"■■","")</f>
        <v/>
      </c>
      <c r="S37" s="17">
        <f>IF(AND($G37&lt;=10,$H37&gt;=10),"■■","")</f>
        <v/>
      </c>
      <c r="T37" s="17">
        <f>IF(AND($G37&lt;=11,$H37&gt;=11),"■■","")</f>
        <v/>
      </c>
      <c r="U37" s="17">
        <f>IF(AND($G37&lt;=12,$H37&gt;=12),"■■","")</f>
        <v/>
      </c>
      <c r="V37" s="17">
        <f>IF(AND($G37&lt;=13,$H37&gt;=13),"■■","")</f>
        <v/>
      </c>
      <c r="W37" s="17">
        <f>IF(AND($G37&lt;=14,$H37&gt;=14),"■■","")</f>
        <v/>
      </c>
      <c r="X37" s="17">
        <f>IF(AND($G37&lt;=15,$H37&gt;=15),"■■","")</f>
        <v/>
      </c>
      <c r="Y37" s="17" t="n"/>
      <c r="Z37" s="17" t="n"/>
      <c r="AA37" s="17" t="n"/>
      <c r="AB37" s="16" t="inlineStr">
        <is>
          <t>上线检查表全部通过；上线后 1 小时值守无 P1/P2 告警、成功率达标</t>
        </is>
      </c>
      <c r="AC37" s="16" t="inlineStr">
        <is>
          <t>未开始</t>
        </is>
      </c>
      <c r="AD37" s="17">
        <f>IF($H37&lt;$G37,0,$F37/($H37-$G37+1))</f>
        <v/>
      </c>
    </row>
    <row r="38" ht="14.25" customHeight="1" s="11">
      <c r="A38" s="15" t="inlineStr">
        <is>
          <t>D5</t>
        </is>
      </c>
      <c r="B38" s="15" t="n">
        <v>35</v>
      </c>
      <c r="C38" s="16" t="inlineStr">
        <is>
          <t>移交运维：Runbook / 应急预案 / 值班表 / 成本看板</t>
        </is>
      </c>
      <c r="D38" s="15" t="inlineStr">
        <is>
          <t>人员A</t>
        </is>
      </c>
      <c r="E38" s="16" t="inlineStr">
        <is>
          <t>34</t>
        </is>
      </c>
      <c r="F38" s="17" t="n">
        <v>1</v>
      </c>
      <c r="G38" s="17" t="n">
        <v>15</v>
      </c>
      <c r="H38" s="17" t="n">
        <v>15</v>
      </c>
      <c r="I38" s="47">
        <f>说明与总览!$B$21+VALUE(MID($A38,2,1))-1</f>
        <v/>
      </c>
      <c r="J38" s="17">
        <f>IF(AND($G38&lt;=1,$H38&gt;=1),"■■","")</f>
        <v/>
      </c>
      <c r="K38" s="17">
        <f>IF(AND($G38&lt;=2,$H38&gt;=2),"■■","")</f>
        <v/>
      </c>
      <c r="L38" s="17">
        <f>IF(AND($G38&lt;=3,$H38&gt;=3),"■■","")</f>
        <v/>
      </c>
      <c r="M38" s="17">
        <f>IF(AND($G38&lt;=4,$H38&gt;=4),"■■","")</f>
        <v/>
      </c>
      <c r="N38" s="17">
        <f>IF(AND($G38&lt;=5,$H38&gt;=5),"■■","")</f>
        <v/>
      </c>
      <c r="O38" s="17">
        <f>IF(AND($G38&lt;=6,$H38&gt;=6),"■■","")</f>
        <v/>
      </c>
      <c r="P38" s="17">
        <f>IF(AND($G38&lt;=7,$H38&gt;=7),"■■","")</f>
        <v/>
      </c>
      <c r="Q38" s="17">
        <f>IF(AND($G38&lt;=8,$H38&gt;=8),"■■","")</f>
        <v/>
      </c>
      <c r="R38" s="17">
        <f>IF(AND($G38&lt;=9,$H38&gt;=9),"■■","")</f>
        <v/>
      </c>
      <c r="S38" s="17">
        <f>IF(AND($G38&lt;=10,$H38&gt;=10),"■■","")</f>
        <v/>
      </c>
      <c r="T38" s="17">
        <f>IF(AND($G38&lt;=11,$H38&gt;=11),"■■","")</f>
        <v/>
      </c>
      <c r="U38" s="17">
        <f>IF(AND($G38&lt;=12,$H38&gt;=12),"■■","")</f>
        <v/>
      </c>
      <c r="V38" s="17">
        <f>IF(AND($G38&lt;=13,$H38&gt;=13),"■■","")</f>
        <v/>
      </c>
      <c r="W38" s="17">
        <f>IF(AND($G38&lt;=14,$H38&gt;=14),"■■","")</f>
        <v/>
      </c>
      <c r="X38" s="17">
        <f>IF(AND($G38&lt;=15,$H38&gt;=15),"■■","")</f>
        <v/>
      </c>
      <c r="Y38" s="17" t="n"/>
      <c r="Z38" s="17" t="n"/>
      <c r="AA38" s="17" t="n"/>
      <c r="AB38" s="16" t="inlineStr">
        <is>
          <t>文档与看板交付并完成交接评审</t>
        </is>
      </c>
      <c r="AC38" s="16" t="inlineStr">
        <is>
          <t>未开始</t>
        </is>
      </c>
      <c r="AD38" s="17">
        <f>IF($H38&lt;$G38,0,$F38/($H38-$G38+1))</f>
        <v/>
      </c>
    </row>
    <row r="39" ht="14.25" customHeight="1" s="11">
      <c r="A39" s="15" t="inlineStr">
        <is>
          <t>D4</t>
        </is>
      </c>
      <c r="B39" s="15" t="n">
        <v>36</v>
      </c>
      <c r="C39" s="16" t="inlineStr">
        <is>
          <t>备 region 接管演练（GTM 强制切换）</t>
        </is>
      </c>
      <c r="D39" s="15" t="inlineStr">
        <is>
          <t>人员B</t>
        </is>
      </c>
      <c r="E39" s="16" t="inlineStr">
        <is>
          <t>30,21</t>
        </is>
      </c>
      <c r="F39" s="17" t="n">
        <v>2</v>
      </c>
      <c r="G39" s="17" t="n">
        <v>11</v>
      </c>
      <c r="H39" s="17" t="n">
        <v>11</v>
      </c>
      <c r="I39" s="47">
        <f>说明与总览!$B$21+VALUE(MID($A39,2,1))-1</f>
        <v/>
      </c>
      <c r="J39" s="17">
        <f>IF(AND($G39&lt;=1,$H39&gt;=1),"■■","")</f>
        <v/>
      </c>
      <c r="K39" s="17">
        <f>IF(AND($G39&lt;=2,$H39&gt;=2),"■■","")</f>
        <v/>
      </c>
      <c r="L39" s="17">
        <f>IF(AND($G39&lt;=3,$H39&gt;=3),"■■","")</f>
        <v/>
      </c>
      <c r="M39" s="17">
        <f>IF(AND($G39&lt;=4,$H39&gt;=4),"■■","")</f>
        <v/>
      </c>
      <c r="N39" s="17">
        <f>IF(AND($G39&lt;=5,$H39&gt;=5),"■■","")</f>
        <v/>
      </c>
      <c r="O39" s="17">
        <f>IF(AND($G39&lt;=6,$H39&gt;=6),"■■","")</f>
        <v/>
      </c>
      <c r="P39" s="17">
        <f>IF(AND($G39&lt;=7,$H39&gt;=7),"■■","")</f>
        <v/>
      </c>
      <c r="Q39" s="17">
        <f>IF(AND($G39&lt;=8,$H39&gt;=8),"■■","")</f>
        <v/>
      </c>
      <c r="R39" s="17">
        <f>IF(AND($G39&lt;=9,$H39&gt;=9),"■■","")</f>
        <v/>
      </c>
      <c r="S39" s="17">
        <f>IF(AND($G39&lt;=10,$H39&gt;=10),"■■","")</f>
        <v/>
      </c>
      <c r="T39" s="17">
        <f>IF(AND($G39&lt;=11,$H39&gt;=11),"■■","")</f>
        <v/>
      </c>
      <c r="U39" s="17">
        <f>IF(AND($G39&lt;=12,$H39&gt;=12),"■■","")</f>
        <v/>
      </c>
      <c r="V39" s="17">
        <f>IF(AND($G39&lt;=13,$H39&gt;=13),"■■","")</f>
        <v/>
      </c>
      <c r="W39" s="17">
        <f>IF(AND($G39&lt;=14,$H39&gt;=14),"■■","")</f>
        <v/>
      </c>
      <c r="X39" s="17">
        <f>IF(AND($G39&lt;=15,$H39&gt;=15),"■■","")</f>
        <v/>
      </c>
      <c r="Y39" s="17" t="n"/>
      <c r="Z39" s="17" t="n"/>
      <c r="AA39" s="17" t="n"/>
      <c r="AB39" s="16" t="inlineStr">
        <is>
          <t>成功率不降、接管期写入 P99 抬升 ≤ 80ms</t>
        </is>
      </c>
      <c r="AC39" s="16" t="inlineStr">
        <is>
          <t>未开始</t>
        </is>
      </c>
      <c r="AD39" s="17">
        <f>IF($H39&lt;$G39,0,$F39/($H39-$G39+1))</f>
        <v/>
      </c>
    </row>
    <row r="40" ht="14.25" customHeight="1" s="11">
      <c r="A40" s="15" t="inlineStr">
        <is>
          <t>D4</t>
        </is>
      </c>
      <c r="B40" s="15" t="n">
        <v>37</v>
      </c>
      <c r="C40" s="16" t="inlineStr">
        <is>
          <t>主库故障切换演练（RDS 主备 + 应用重连 + 额度对账）</t>
        </is>
      </c>
      <c r="D40" s="15" t="inlineStr">
        <is>
          <t>人员B</t>
        </is>
      </c>
      <c r="E40" s="16" t="inlineStr">
        <is>
          <t>4,23</t>
        </is>
      </c>
      <c r="F40" s="17" t="n">
        <v>2</v>
      </c>
      <c r="G40" s="17" t="n">
        <v>11</v>
      </c>
      <c r="H40" s="17" t="n">
        <v>11</v>
      </c>
      <c r="I40" s="47">
        <f>说明与总览!$B$21+VALUE(MID($A40,2,1))-1</f>
        <v/>
      </c>
      <c r="J40" s="17">
        <f>IF(AND($G40&lt;=1,$H40&gt;=1),"■■","")</f>
        <v/>
      </c>
      <c r="K40" s="17">
        <f>IF(AND($G40&lt;=2,$H40&gt;=2),"■■","")</f>
        <v/>
      </c>
      <c r="L40" s="17">
        <f>IF(AND($G40&lt;=3,$H40&gt;=3),"■■","")</f>
        <v/>
      </c>
      <c r="M40" s="17">
        <f>IF(AND($G40&lt;=4,$H40&gt;=4),"■■","")</f>
        <v/>
      </c>
      <c r="N40" s="17">
        <f>IF(AND($G40&lt;=5,$H40&gt;=5),"■■","")</f>
        <v/>
      </c>
      <c r="O40" s="17">
        <f>IF(AND($G40&lt;=6,$H40&gt;=6),"■■","")</f>
        <v/>
      </c>
      <c r="P40" s="17">
        <f>IF(AND($G40&lt;=7,$H40&gt;=7),"■■","")</f>
        <v/>
      </c>
      <c r="Q40" s="17">
        <f>IF(AND($G40&lt;=8,$H40&gt;=8),"■■","")</f>
        <v/>
      </c>
      <c r="R40" s="17">
        <f>IF(AND($G40&lt;=9,$H40&gt;=9),"■■","")</f>
        <v/>
      </c>
      <c r="S40" s="17">
        <f>IF(AND($G40&lt;=10,$H40&gt;=10),"■■","")</f>
        <v/>
      </c>
      <c r="T40" s="17">
        <f>IF(AND($G40&lt;=11,$H40&gt;=11),"■■","")</f>
        <v/>
      </c>
      <c r="U40" s="17">
        <f>IF(AND($G40&lt;=12,$H40&gt;=12),"■■","")</f>
        <v/>
      </c>
      <c r="V40" s="17">
        <f>IF(AND($G40&lt;=13,$H40&gt;=13),"■■","")</f>
        <v/>
      </c>
      <c r="W40" s="17">
        <f>IF(AND($G40&lt;=14,$H40&gt;=14),"■■","")</f>
        <v/>
      </c>
      <c r="X40" s="17">
        <f>IF(AND($G40&lt;=15,$H40&gt;=15),"■■","")</f>
        <v/>
      </c>
      <c r="Y40" s="17" t="n"/>
      <c r="Z40" s="17" t="n"/>
      <c r="AA40" s="17" t="n"/>
      <c r="AB40" s="16" t="inlineStr">
        <is>
          <t>切换 ≤ 60s，额度对账一致</t>
        </is>
      </c>
      <c r="AC40" s="16" t="inlineStr">
        <is>
          <t>未开始</t>
        </is>
      </c>
      <c r="AD40" s="17">
        <f>IF($H40&lt;$G40,0,$F40/($H40-$G40+1))</f>
        <v/>
      </c>
    </row>
    <row r="41" ht="14.25" customHeight="1" s="11">
      <c r="A41" s="15" t="inlineStr">
        <is>
          <t>D4</t>
        </is>
      </c>
      <c r="B41" s="15" t="n">
        <v>38</v>
      </c>
      <c r="C41" s="16" t="inlineStr">
        <is>
          <t>上线前安全核查（OWASP / 白名单 / 密钥 / 审计）</t>
        </is>
      </c>
      <c r="D41" s="15" t="inlineStr">
        <is>
          <t>人员B</t>
        </is>
      </c>
      <c r="E41" s="16" t="inlineStr">
        <is>
          <t>22</t>
        </is>
      </c>
      <c r="F41" s="17" t="n">
        <v>2</v>
      </c>
      <c r="G41" s="17" t="n">
        <v>12</v>
      </c>
      <c r="H41" s="17" t="n">
        <v>12</v>
      </c>
      <c r="I41" s="47">
        <f>说明与总览!$B$21+VALUE(MID($A41,2,1))-1</f>
        <v/>
      </c>
      <c r="J41" s="17">
        <f>IF(AND($G41&lt;=1,$H41&gt;=1),"■■","")</f>
        <v/>
      </c>
      <c r="K41" s="17">
        <f>IF(AND($G41&lt;=2,$H41&gt;=2),"■■","")</f>
        <v/>
      </c>
      <c r="L41" s="17">
        <f>IF(AND($G41&lt;=3,$H41&gt;=3),"■■","")</f>
        <v/>
      </c>
      <c r="M41" s="17">
        <f>IF(AND($G41&lt;=4,$H41&gt;=4),"■■","")</f>
        <v/>
      </c>
      <c r="N41" s="17">
        <f>IF(AND($G41&lt;=5,$H41&gt;=5),"■■","")</f>
        <v/>
      </c>
      <c r="O41" s="17">
        <f>IF(AND($G41&lt;=6,$H41&gt;=6),"■■","")</f>
        <v/>
      </c>
      <c r="P41" s="17">
        <f>IF(AND($G41&lt;=7,$H41&gt;=7),"■■","")</f>
        <v/>
      </c>
      <c r="Q41" s="17">
        <f>IF(AND($G41&lt;=8,$H41&gt;=8),"■■","")</f>
        <v/>
      </c>
      <c r="R41" s="17">
        <f>IF(AND($G41&lt;=9,$H41&gt;=9),"■■","")</f>
        <v/>
      </c>
      <c r="S41" s="17">
        <f>IF(AND($G41&lt;=10,$H41&gt;=10),"■■","")</f>
        <v/>
      </c>
      <c r="T41" s="17">
        <f>IF(AND($G41&lt;=11,$H41&gt;=11),"■■","")</f>
        <v/>
      </c>
      <c r="U41" s="17">
        <f>IF(AND($G41&lt;=12,$H41&gt;=12),"■■","")</f>
        <v/>
      </c>
      <c r="V41" s="17">
        <f>IF(AND($G41&lt;=13,$H41&gt;=13),"■■","")</f>
        <v/>
      </c>
      <c r="W41" s="17">
        <f>IF(AND($G41&lt;=14,$H41&gt;=14),"■■","")</f>
        <v/>
      </c>
      <c r="X41" s="17">
        <f>IF(AND($G41&lt;=15,$H41&gt;=15),"■■","")</f>
        <v/>
      </c>
      <c r="Y41" s="17" t="n"/>
      <c r="Z41" s="17" t="n"/>
      <c r="AA41" s="17" t="n"/>
      <c r="AB41" s="16" t="inlineStr">
        <is>
          <t>无高危项，整改项闭环</t>
        </is>
      </c>
      <c r="AC41" s="16" t="inlineStr">
        <is>
          <t>未开始</t>
        </is>
      </c>
      <c r="AD41" s="17">
        <f>IF($H41&lt;$G41,0,$F41/($H41-$G41+1))</f>
        <v/>
      </c>
    </row>
    <row r="42" ht="14.25" customHeight="1" s="11">
      <c r="A42" s="15" t="inlineStr">
        <is>
          <t>D4</t>
        </is>
      </c>
      <c r="B42" s="15" t="n">
        <v>39</v>
      </c>
      <c r="C42" s="16" t="inlineStr">
        <is>
          <t>备 region 链路拨测与告警（不健康时阻止 GTM 接管）</t>
        </is>
      </c>
      <c r="D42" s="15" t="inlineStr">
        <is>
          <t>人员B</t>
        </is>
      </c>
      <c r="E42" s="16" t="inlineStr">
        <is>
          <t>30</t>
        </is>
      </c>
      <c r="F42" s="17" t="n">
        <v>2</v>
      </c>
      <c r="G42" s="17" t="n">
        <v>12</v>
      </c>
      <c r="H42" s="17" t="n">
        <v>12</v>
      </c>
      <c r="I42" s="47">
        <f>说明与总览!$B$21+VALUE(MID($A42,2,1))-1</f>
        <v/>
      </c>
      <c r="J42" s="17">
        <f>IF(AND($G42&lt;=1,$H42&gt;=1),"■■","")</f>
        <v/>
      </c>
      <c r="K42" s="17">
        <f>IF(AND($G42&lt;=2,$H42&gt;=2),"■■","")</f>
        <v/>
      </c>
      <c r="L42" s="17">
        <f>IF(AND($G42&lt;=3,$H42&gt;=3),"■■","")</f>
        <v/>
      </c>
      <c r="M42" s="17">
        <f>IF(AND($G42&lt;=4,$H42&gt;=4),"■■","")</f>
        <v/>
      </c>
      <c r="N42" s="17">
        <f>IF(AND($G42&lt;=5,$H42&gt;=5),"■■","")</f>
        <v/>
      </c>
      <c r="O42" s="17">
        <f>IF(AND($G42&lt;=6,$H42&gt;=6),"■■","")</f>
        <v/>
      </c>
      <c r="P42" s="17">
        <f>IF(AND($G42&lt;=7,$H42&gt;=7),"■■","")</f>
        <v/>
      </c>
      <c r="Q42" s="17">
        <f>IF(AND($G42&lt;=8,$H42&gt;=8),"■■","")</f>
        <v/>
      </c>
      <c r="R42" s="17">
        <f>IF(AND($G42&lt;=9,$H42&gt;=9),"■■","")</f>
        <v/>
      </c>
      <c r="S42" s="17">
        <f>IF(AND($G42&lt;=10,$H42&gt;=10),"■■","")</f>
        <v/>
      </c>
      <c r="T42" s="17">
        <f>IF(AND($G42&lt;=11,$H42&gt;=11),"■■","")</f>
        <v/>
      </c>
      <c r="U42" s="17">
        <f>IF(AND($G42&lt;=12,$H42&gt;=12),"■■","")</f>
        <v/>
      </c>
      <c r="V42" s="17">
        <f>IF(AND($G42&lt;=13,$H42&gt;=13),"■■","")</f>
        <v/>
      </c>
      <c r="W42" s="17">
        <f>IF(AND($G42&lt;=14,$H42&gt;=14),"■■","")</f>
        <v/>
      </c>
      <c r="X42" s="17">
        <f>IF(AND($G42&lt;=15,$H42&gt;=15),"■■","")</f>
        <v/>
      </c>
      <c r="Y42" s="17" t="n"/>
      <c r="Z42" s="17" t="n"/>
      <c r="AA42" s="17" t="n"/>
      <c r="AB42" s="16" t="inlineStr">
        <is>
          <t>链路异常可告警并阻断接管</t>
        </is>
      </c>
      <c r="AC42" s="16" t="inlineStr">
        <is>
          <t>未开始</t>
        </is>
      </c>
      <c r="AD42" s="17">
        <f>IF($H42&lt;$G42,0,$F42/($H42-$G42+1))</f>
        <v/>
      </c>
    </row>
    <row r="43" ht="14.25" customHeight="1" s="11">
      <c r="A43" s="15" t="inlineStr">
        <is>
          <t>D5</t>
        </is>
      </c>
      <c r="B43" s="15" t="n">
        <v>40</v>
      </c>
      <c r="C43" s="16" t="inlineStr">
        <is>
          <t>证书正式部署到 ALB / WAF / DCDN（含 SNI 校验与到期告警）</t>
        </is>
      </c>
      <c r="D43" s="15" t="inlineStr">
        <is>
          <t>人员A</t>
        </is>
      </c>
      <c r="E43" s="16" t="inlineStr">
        <is>
          <t>19,20,25</t>
        </is>
      </c>
      <c r="F43" s="17" t="n">
        <v>1</v>
      </c>
      <c r="G43" s="17" t="n">
        <v>14</v>
      </c>
      <c r="H43" s="17" t="n">
        <v>14</v>
      </c>
      <c r="I43" s="47">
        <f>说明与总览!$B$21+VALUE(MID($A43,2,1))-1</f>
        <v/>
      </c>
      <c r="J43" s="17">
        <f>IF(AND($G43&lt;=1,$H43&gt;=1),"■■","")</f>
        <v/>
      </c>
      <c r="K43" s="17">
        <f>IF(AND($G43&lt;=2,$H43&gt;=2),"■■","")</f>
        <v/>
      </c>
      <c r="L43" s="17">
        <f>IF(AND($G43&lt;=3,$H43&gt;=3),"■■","")</f>
        <v/>
      </c>
      <c r="M43" s="17">
        <f>IF(AND($G43&lt;=4,$H43&gt;=4),"■■","")</f>
        <v/>
      </c>
      <c r="N43" s="17">
        <f>IF(AND($G43&lt;=5,$H43&gt;=5),"■■","")</f>
        <v/>
      </c>
      <c r="O43" s="17">
        <f>IF(AND($G43&lt;=6,$H43&gt;=6),"■■","")</f>
        <v/>
      </c>
      <c r="P43" s="17">
        <f>IF(AND($G43&lt;=7,$H43&gt;=7),"■■","")</f>
        <v/>
      </c>
      <c r="Q43" s="17">
        <f>IF(AND($G43&lt;=8,$H43&gt;=8),"■■","")</f>
        <v/>
      </c>
      <c r="R43" s="17">
        <f>IF(AND($G43&lt;=9,$H43&gt;=9),"■■","")</f>
        <v/>
      </c>
      <c r="S43" s="17">
        <f>IF(AND($G43&lt;=10,$H43&gt;=10),"■■","")</f>
        <v/>
      </c>
      <c r="T43" s="17">
        <f>IF(AND($G43&lt;=11,$H43&gt;=11),"■■","")</f>
        <v/>
      </c>
      <c r="U43" s="17">
        <f>IF(AND($G43&lt;=12,$H43&gt;=12),"■■","")</f>
        <v/>
      </c>
      <c r="V43" s="17">
        <f>IF(AND($G43&lt;=13,$H43&gt;=13),"■■","")</f>
        <v/>
      </c>
      <c r="W43" s="17">
        <f>IF(AND($G43&lt;=14,$H43&gt;=14),"■■","")</f>
        <v/>
      </c>
      <c r="X43" s="17">
        <f>IF(AND($G43&lt;=15,$H43&gt;=15),"■■","")</f>
        <v/>
      </c>
      <c r="Y43" s="17" t="n"/>
      <c r="Z43" s="17" t="n"/>
      <c r="AA43" s="17" t="n"/>
      <c r="AB43" s="16" t="inlineStr">
        <is>
          <t>证书链校验通过，TLS 1.2/1.3 可用，SNI 与域名校验生效</t>
        </is>
      </c>
      <c r="AC43" s="16" t="inlineStr">
        <is>
          <t>部分交付（2026-10-12：证书已部署至两地 ALB 443，链校验与 SNI 通过；WAF 未接入、DCDN 未启用 ⇒ 按 F15（不采购）与未开通，本轮不做，判据收窄为仅 ALB；未闭合项改为「新证书须人工换绑两地 ALB HTTPS 监听（AutoReissue=enable 只保证签出新证，无 CAS 部署联动；2027-03-29 前执行 targets.yaml R1–R4）」）</t>
        </is>
      </c>
      <c r="AD43" s="17">
        <f>IF($H43&lt;$G43,0,$F43/($H43-$G43+1))</f>
        <v/>
      </c>
    </row>
    <row r="44" ht="28.5" customHeight="1" s="11">
      <c r="A44" s="15" t="inlineStr">
        <is>
          <t>D2</t>
        </is>
      </c>
      <c r="B44" s="15" t="n">
        <v>41</v>
      </c>
      <c r="C44" s="16" t="inlineStr">
        <is>
          <t>部署 PgBouncer / RDS 代理并落地连接数预算</t>
        </is>
      </c>
      <c r="D44" s="15" t="inlineStr">
        <is>
          <t>人员B</t>
        </is>
      </c>
      <c r="E44" s="16" t="inlineStr">
        <is>
          <t>4,13</t>
        </is>
      </c>
      <c r="F44" s="17" t="n">
        <v>3</v>
      </c>
      <c r="G44" s="17" t="n">
        <v>4</v>
      </c>
      <c r="H44" s="17" t="n">
        <v>6</v>
      </c>
      <c r="I44" s="47">
        <f>说明与总览!$B$21+VALUE(MID($A44,2,1))-1</f>
        <v/>
      </c>
      <c r="J44" s="17">
        <f>IF(AND($G44&lt;=1,$H44&gt;=1),"■■","")</f>
        <v/>
      </c>
      <c r="K44" s="17">
        <f>IF(AND($G44&lt;=2,$H44&gt;=2),"■■","")</f>
        <v/>
      </c>
      <c r="L44" s="17">
        <f>IF(AND($G44&lt;=3,$H44&gt;=3),"■■","")</f>
        <v/>
      </c>
      <c r="M44" s="17">
        <f>IF(AND($G44&lt;=4,$H44&gt;=4),"■■","")</f>
        <v/>
      </c>
      <c r="N44" s="17">
        <f>IF(AND($G44&lt;=5,$H44&gt;=5),"■■","")</f>
        <v/>
      </c>
      <c r="O44" s="17">
        <f>IF(AND($G44&lt;=6,$H44&gt;=6),"■■","")</f>
        <v/>
      </c>
      <c r="P44" s="17">
        <f>IF(AND($G44&lt;=7,$H44&gt;=7),"■■","")</f>
        <v/>
      </c>
      <c r="Q44" s="17">
        <f>IF(AND($G44&lt;=8,$H44&gt;=8),"■■","")</f>
        <v/>
      </c>
      <c r="R44" s="17">
        <f>IF(AND($G44&lt;=9,$H44&gt;=9),"■■","")</f>
        <v/>
      </c>
      <c r="S44" s="17">
        <f>IF(AND($G44&lt;=10,$H44&gt;=10),"■■","")</f>
        <v/>
      </c>
      <c r="T44" s="17">
        <f>IF(AND($G44&lt;=11,$H44&gt;=11),"■■","")</f>
        <v/>
      </c>
      <c r="U44" s="17">
        <f>IF(AND($G44&lt;=12,$H44&gt;=12),"■■","")</f>
        <v/>
      </c>
      <c r="V44" s="17">
        <f>IF(AND($G44&lt;=13,$H44&gt;=13),"■■","")</f>
        <v/>
      </c>
      <c r="W44" s="17">
        <f>IF(AND($G44&lt;=14,$H44&gt;=14),"■■","")</f>
        <v/>
      </c>
      <c r="X44" s="17">
        <f>IF(AND($G44&lt;=15,$H44&gt;=15),"■■","")</f>
        <v/>
      </c>
      <c r="Y44" s="17" t="n"/>
      <c r="Z44" s="17" t="n"/>
      <c r="AA44" s="17" t="n"/>
      <c r="AB44" s="16" t="inlineStr">
        <is>
          <t>cl_waiting 无持续堆积；PG 实际连接数 ≤ max_connections × 0.8</t>
        </is>
      </c>
      <c r="AC44" s="16" t="inlineStr">
        <is>
          <t>已完成</t>
        </is>
      </c>
      <c r="AD44" s="17">
        <f>IF($H44&lt;$G44,0,$F44/($H44-$G44+1))</f>
        <v/>
      </c>
    </row>
    <row r="45" ht="28.5" customHeight="1" s="11">
      <c r="A45" s="15" t="inlineStr">
        <is>
          <t>D4</t>
        </is>
      </c>
      <c r="B45" s="15" t="n">
        <v>42</v>
      </c>
      <c r="C45" s="16" t="inlineStr">
        <is>
          <t>配置主站 / 备 region 节点池自动伸缩（**ACK 托管弹性组件 ack-goatscaler**，非 cluster-autoscaler）</t>
        </is>
      </c>
      <c r="D45" s="15" t="inlineStr">
        <is>
          <t>人员A</t>
        </is>
      </c>
      <c r="E45" s="16" t="inlineStr">
        <is>
          <t>10,11,24</t>
        </is>
      </c>
      <c r="F45" s="17" t="n">
        <v>2</v>
      </c>
      <c r="G45" s="17" t="n">
        <v>11</v>
      </c>
      <c r="H45" s="17" t="n">
        <v>11</v>
      </c>
      <c r="I45" s="47">
        <f>说明与总览!$B$21+VALUE(MID($A45,2,1))-1</f>
        <v/>
      </c>
      <c r="J45" s="17">
        <f>IF(AND($G45&lt;=1,$H45&gt;=1),"■■","")</f>
        <v/>
      </c>
      <c r="K45" s="17">
        <f>IF(AND($G45&lt;=2,$H45&gt;=2),"■■","")</f>
        <v/>
      </c>
      <c r="L45" s="17">
        <f>IF(AND($G45&lt;=3,$H45&gt;=3),"■■","")</f>
        <v/>
      </c>
      <c r="M45" s="17">
        <f>IF(AND($G45&lt;=4,$H45&gt;=4),"■■","")</f>
        <v/>
      </c>
      <c r="N45" s="17">
        <f>IF(AND($G45&lt;=5,$H45&gt;=5),"■■","")</f>
        <v/>
      </c>
      <c r="O45" s="17">
        <f>IF(AND($G45&lt;=6,$H45&gt;=6),"■■","")</f>
        <v/>
      </c>
      <c r="P45" s="17">
        <f>IF(AND($G45&lt;=7,$H45&gt;=7),"■■","")</f>
        <v/>
      </c>
      <c r="Q45" s="17">
        <f>IF(AND($G45&lt;=8,$H45&gt;=8),"■■","")</f>
        <v/>
      </c>
      <c r="R45" s="17">
        <f>IF(AND($G45&lt;=9,$H45&gt;=9),"■■","")</f>
        <v/>
      </c>
      <c r="S45" s="17">
        <f>IF(AND($G45&lt;=10,$H45&gt;=10),"■■","")</f>
        <v/>
      </c>
      <c r="T45" s="17">
        <f>IF(AND($G45&lt;=11,$H45&gt;=11),"■■","")</f>
        <v/>
      </c>
      <c r="U45" s="17">
        <f>IF(AND($G45&lt;=12,$H45&gt;=12),"■■","")</f>
        <v/>
      </c>
      <c r="V45" s="17">
        <f>IF(AND($G45&lt;=13,$H45&gt;=13),"■■","")</f>
        <v/>
      </c>
      <c r="W45" s="17">
        <f>IF(AND($G45&lt;=14,$H45&gt;=14),"■■","")</f>
        <v/>
      </c>
      <c r="X45" s="17">
        <f>IF(AND($G45&lt;=15,$H45&gt;=15),"■■","")</f>
        <v/>
      </c>
      <c r="Y45" s="17" t="n"/>
      <c r="Z45" s="17" t="n"/>
      <c r="AA45" s="17" t="n"/>
      <c r="AB45" s="16" t="inlineStr">
        <is>
          <t>验收判据改：patch HPA `minReplicas=13` 制造真实 Pending 并观察是否自动出第 5 台（原「手动 scale 12」方法必然假阴性）</t>
        </is>
      </c>
      <c r="AC45" s="16" t="inlineStr">
        <is>
          <t>部分交付（配置完成、扩容动作未实测）</t>
        </is>
      </c>
      <c r="AD45" s="17">
        <f>IF($H45&lt;$G45,0,$F45/($H45-$G45+1))</f>
        <v/>
      </c>
    </row>
    <row r="46" ht="14.25" customHeight="1" s="11">
      <c r="A46" s="15" t="inlineStr">
        <is>
          <t>D5</t>
        </is>
      </c>
      <c r="B46" s="15" t="n">
        <v>43</v>
      </c>
      <c r="C46" s="16" t="inlineStr">
        <is>
          <t>主站 HPA **4–13** 落地 + 探针与单实例容量基线</t>
        </is>
      </c>
      <c r="D46" s="15" t="inlineStr">
        <is>
          <t>人员B</t>
        </is>
      </c>
      <c r="E46" s="16" t="inlineStr">
        <is>
          <t>23</t>
        </is>
      </c>
      <c r="F46" s="17" t="n">
        <v>3</v>
      </c>
      <c r="G46" s="17" t="n">
        <v>13</v>
      </c>
      <c r="H46" s="17" t="n">
        <v>13</v>
      </c>
      <c r="I46" s="47">
        <f>说明与总览!$B$21+VALUE(MID($A46,2,1))-1</f>
        <v/>
      </c>
      <c r="J46" s="17">
        <f>IF(AND($G46&lt;=1,$H46&gt;=1),"■■","")</f>
        <v/>
      </c>
      <c r="K46" s="17">
        <f>IF(AND($G46&lt;=2,$H46&gt;=2),"■■","")</f>
        <v/>
      </c>
      <c r="L46" s="17">
        <f>IF(AND($G46&lt;=3,$H46&gt;=3),"■■","")</f>
        <v/>
      </c>
      <c r="M46" s="17">
        <f>IF(AND($G46&lt;=4,$H46&gt;=4),"■■","")</f>
        <v/>
      </c>
      <c r="N46" s="17">
        <f>IF(AND($G46&lt;=5,$H46&gt;=5),"■■","")</f>
        <v/>
      </c>
      <c r="O46" s="17">
        <f>IF(AND($G46&lt;=6,$H46&gt;=6),"■■","")</f>
        <v/>
      </c>
      <c r="P46" s="17">
        <f>IF(AND($G46&lt;=7,$H46&gt;=7),"■■","")</f>
        <v/>
      </c>
      <c r="Q46" s="17">
        <f>IF(AND($G46&lt;=8,$H46&gt;=8),"■■","")</f>
        <v/>
      </c>
      <c r="R46" s="17">
        <f>IF(AND($G46&lt;=9,$H46&gt;=9),"■■","")</f>
        <v/>
      </c>
      <c r="S46" s="17">
        <f>IF(AND($G46&lt;=10,$H46&gt;=10),"■■","")</f>
        <v/>
      </c>
      <c r="T46" s="17">
        <f>IF(AND($G46&lt;=11,$H46&gt;=11),"■■","")</f>
        <v/>
      </c>
      <c r="U46" s="17">
        <f>IF(AND($G46&lt;=12,$H46&gt;=12),"■■","")</f>
        <v/>
      </c>
      <c r="V46" s="17">
        <f>IF(AND($G46&lt;=13,$H46&gt;=13),"■■","")</f>
        <v/>
      </c>
      <c r="W46" s="17">
        <f>IF(AND($G46&lt;=14,$H46&gt;=14),"■■","")</f>
        <v/>
      </c>
      <c r="X46" s="17">
        <f>IF(AND($G46&lt;=15,$H46&gt;=15),"■■","")</f>
        <v/>
      </c>
      <c r="Y46" s="17" t="n"/>
      <c r="Z46" s="17" t="n"/>
      <c r="AA46" s="17" t="n"/>
      <c r="AB46" s="16" t="inlineStr">
        <is>
          <t>单实例基线可复现；/healthz、/readyz 探针指向正确，**且 /readyz 必须免限流**（现 /api/status 被 GlobalAPIRateLimit 掐住）</t>
        </is>
      </c>
      <c r="AC46" s="16" t="inlineStr">
        <is>
          <t>部分交付（HPA 4–13 已在现网、指标 CPU 65，F12/F14 已裁定；单实例容量基线 C 未实测、/readyz 免限流待 G8）</t>
        </is>
      </c>
      <c r="AD46" s="17">
        <f>IF($H46&lt;$G46,0,$F46/($H46-$G46+1))</f>
        <v/>
      </c>
    </row>
    <row r="47" ht="28.5" customHeight="1" s="11">
      <c r="A47" s="15" t="inlineStr">
        <is>
          <t>D5</t>
        </is>
      </c>
      <c r="B47" s="15" t="n">
        <v>44</v>
      </c>
      <c r="C47" s="16" t="inlineStr">
        <is>
          <t>备 region HPA **2–20** 落地 + 1.5× 接管容量验证（节点池实况 2–12 / 96 vCPU）</t>
        </is>
      </c>
      <c r="D47" s="15" t="inlineStr">
        <is>
          <t>人员A</t>
        </is>
      </c>
      <c r="E47" s="16" t="inlineStr">
        <is>
          <t>24,25,42</t>
        </is>
      </c>
      <c r="F47" s="17" t="n">
        <v>3</v>
      </c>
      <c r="G47" s="17" t="n">
        <v>13</v>
      </c>
      <c r="H47" s="17" t="n">
        <v>13</v>
      </c>
      <c r="I47" s="47">
        <f>说明与总览!$B$21+VALUE(MID($A47,2,1))-1</f>
        <v/>
      </c>
      <c r="J47" s="17">
        <f>IF(AND($G47&lt;=1,$H47&gt;=1),"■■","")</f>
        <v/>
      </c>
      <c r="K47" s="17">
        <f>IF(AND($G47&lt;=2,$H47&gt;=2),"■■","")</f>
        <v/>
      </c>
      <c r="L47" s="17">
        <f>IF(AND($G47&lt;=3,$H47&gt;=3),"■■","")</f>
        <v/>
      </c>
      <c r="M47" s="17">
        <f>IF(AND($G47&lt;=4,$H47&gt;=4),"■■","")</f>
        <v/>
      </c>
      <c r="N47" s="17">
        <f>IF(AND($G47&lt;=5,$H47&gt;=5),"■■","")</f>
        <v/>
      </c>
      <c r="O47" s="17">
        <f>IF(AND($G47&lt;=6,$H47&gt;=6),"■■","")</f>
        <v/>
      </c>
      <c r="P47" s="17">
        <f>IF(AND($G47&lt;=7,$H47&gt;=7),"■■","")</f>
        <v/>
      </c>
      <c r="Q47" s="17">
        <f>IF(AND($G47&lt;=8,$H47&gt;=8),"■■","")</f>
        <v/>
      </c>
      <c r="R47" s="17">
        <f>IF(AND($G47&lt;=9,$H47&gt;=9),"■■","")</f>
        <v/>
      </c>
      <c r="S47" s="17">
        <f>IF(AND($G47&lt;=10,$H47&gt;=10),"■■","")</f>
        <v/>
      </c>
      <c r="T47" s="17">
        <f>IF(AND($G47&lt;=11,$H47&gt;=11),"■■","")</f>
        <v/>
      </c>
      <c r="U47" s="17">
        <f>IF(AND($G47&lt;=12,$H47&gt;=12),"■■","")</f>
        <v/>
      </c>
      <c r="V47" s="17">
        <f>IF(AND($G47&lt;=13,$H47&gt;=13),"■■","")</f>
        <v/>
      </c>
      <c r="W47" s="17">
        <f>IF(AND($G47&lt;=14,$H47&gt;=14),"■■","")</f>
        <v/>
      </c>
      <c r="X47" s="17">
        <f>IF(AND($G47&lt;=15,$H47&gt;=15),"■■","")</f>
        <v/>
      </c>
      <c r="Y47" s="17" t="n"/>
      <c r="Z47" s="17" t="n"/>
      <c r="AA47" s="17" t="n"/>
      <c r="AB47" s="16" t="inlineStr">
        <is>
          <t>备 region 扩到 **20 副本**（= 主站 maxReplicas 13 × 1.5）并压测，成功率不降</t>
        </is>
      </c>
      <c r="AC47" s="16" t="inlineStr">
        <is>
          <t>未开始</t>
        </is>
      </c>
      <c r="AD47" s="17">
        <f>IF($H47&lt;$G47,0,$F47/($H47-$G47+1))</f>
        <v/>
      </c>
    </row>
    <row r="48" ht="28.5" customHeight="1" s="11">
      <c r="A48" s="15" t="inlineStr">
        <is>
          <t>D3</t>
        </is>
      </c>
      <c r="B48" s="15" t="n">
        <v>45</v>
      </c>
      <c r="C48" s="16" t="inlineStr">
        <is>
          <t>搭建 staging / perf 环境并跑通三数据库矩阵</t>
        </is>
      </c>
      <c r="D48" s="15" t="inlineStr">
        <is>
          <t>人员A</t>
        </is>
      </c>
      <c r="E48" s="16" t="inlineStr">
        <is>
          <t>16,10</t>
        </is>
      </c>
      <c r="F48" s="17" t="n">
        <v>4</v>
      </c>
      <c r="G48" s="17" t="n">
        <v>8</v>
      </c>
      <c r="H48" s="17" t="n">
        <v>8</v>
      </c>
      <c r="I48" s="47">
        <f>说明与总览!$B$21+VALUE(MID($A48,2,1))-1</f>
        <v/>
      </c>
      <c r="J48" s="17">
        <f>IF(AND($G48&lt;=1,$H48&gt;=1),"■■","")</f>
        <v/>
      </c>
      <c r="K48" s="17">
        <f>IF(AND($G48&lt;=2,$H48&gt;=2),"■■","")</f>
        <v/>
      </c>
      <c r="L48" s="17">
        <f>IF(AND($G48&lt;=3,$H48&gt;=3),"■■","")</f>
        <v/>
      </c>
      <c r="M48" s="17">
        <f>IF(AND($G48&lt;=4,$H48&gt;=4),"■■","")</f>
        <v/>
      </c>
      <c r="N48" s="17">
        <f>IF(AND($G48&lt;=5,$H48&gt;=5),"■■","")</f>
        <v/>
      </c>
      <c r="O48" s="17">
        <f>IF(AND($G48&lt;=6,$H48&gt;=6),"■■","")</f>
        <v/>
      </c>
      <c r="P48" s="17">
        <f>IF(AND($G48&lt;=7,$H48&gt;=7),"■■","")</f>
        <v/>
      </c>
      <c r="Q48" s="17">
        <f>IF(AND($G48&lt;=8,$H48&gt;=8),"■■","")</f>
        <v/>
      </c>
      <c r="R48" s="17">
        <f>IF(AND($G48&lt;=9,$H48&gt;=9),"■■","")</f>
        <v/>
      </c>
      <c r="S48" s="17">
        <f>IF(AND($G48&lt;=10,$H48&gt;=10),"■■","")</f>
        <v/>
      </c>
      <c r="T48" s="17">
        <f>IF(AND($G48&lt;=11,$H48&gt;=11),"■■","")</f>
        <v/>
      </c>
      <c r="U48" s="17">
        <f>IF(AND($G48&lt;=12,$H48&gt;=12),"■■","")</f>
        <v/>
      </c>
      <c r="V48" s="17">
        <f>IF(AND($G48&lt;=13,$H48&gt;=13),"■■","")</f>
        <v/>
      </c>
      <c r="W48" s="17">
        <f>IF(AND($G48&lt;=14,$H48&gt;=14),"■■","")</f>
        <v/>
      </c>
      <c r="X48" s="17">
        <f>IF(AND($G48&lt;=15,$H48&gt;=15),"■■","")</f>
        <v/>
      </c>
      <c r="Y48" s="17" t="n"/>
      <c r="Z48" s="17" t="n"/>
      <c r="AA48" s="17" t="n"/>
      <c r="AB48" s="16" t="inlineStr">
        <is>
          <t>三数据库矩阵（SQLite / MySQL / PG）用例通过，压测矩阵可执行</t>
        </is>
      </c>
      <c r="AC48" s="16" t="inlineStr">
        <is>
          <t>未开始（Day2 仅最小三库冒烟）</t>
        </is>
      </c>
      <c r="AD48" s="17">
        <f>IF($H48&lt;$G48,0,$F48/($H48-$G48+1))</f>
        <v/>
      </c>
    </row>
    <row r="49" ht="28.5" customHeight="1" s="11">
      <c r="A49" s="15" t="inlineStr">
        <is>
          <t>D2</t>
        </is>
      </c>
      <c r="B49" s="15" t="n">
        <v>46</v>
      </c>
      <c r="C49" s="16" t="inlineStr">
        <is>
          <t>运维访问面：kubeconfig + RAM→RBAC + API Server 私网端点 + 堡垒机/VPN + 变更审批</t>
        </is>
      </c>
      <c r="D49" s="15" t="inlineStr">
        <is>
          <t>人员A</t>
        </is>
      </c>
      <c r="E49" s="16" t="inlineStr">
        <is>
          <t>10</t>
        </is>
      </c>
      <c r="F49" s="17" t="n">
        <v>3</v>
      </c>
      <c r="G49" s="17" t="n">
        <v>6</v>
      </c>
      <c r="H49" s="17" t="n">
        <v>6</v>
      </c>
      <c r="I49" s="47">
        <f>说明与总览!$B$21+VALUE(MID($A49,2,1))-1</f>
        <v/>
      </c>
      <c r="J49" s="17">
        <f>IF(AND($G49&lt;=1,$H49&gt;=1),"■■","")</f>
        <v/>
      </c>
      <c r="K49" s="17">
        <f>IF(AND($G49&lt;=2,$H49&gt;=2),"■■","")</f>
        <v/>
      </c>
      <c r="L49" s="17">
        <f>IF(AND($G49&lt;=3,$H49&gt;=3),"■■","")</f>
        <v/>
      </c>
      <c r="M49" s="17">
        <f>IF(AND($G49&lt;=4,$H49&gt;=4),"■■","")</f>
        <v/>
      </c>
      <c r="N49" s="17">
        <f>IF(AND($G49&lt;=5,$H49&gt;=5),"■■","")</f>
        <v/>
      </c>
      <c r="O49" s="17">
        <f>IF(AND($G49&lt;=6,$H49&gt;=6),"■■","")</f>
        <v/>
      </c>
      <c r="P49" s="17">
        <f>IF(AND($G49&lt;=7,$H49&gt;=7),"■■","")</f>
        <v/>
      </c>
      <c r="Q49" s="17">
        <f>IF(AND($G49&lt;=8,$H49&gt;=8),"■■","")</f>
        <v/>
      </c>
      <c r="R49" s="17">
        <f>IF(AND($G49&lt;=9,$H49&gt;=9),"■■","")</f>
        <v/>
      </c>
      <c r="S49" s="17">
        <f>IF(AND($G49&lt;=10,$H49&gt;=10),"■■","")</f>
        <v/>
      </c>
      <c r="T49" s="17">
        <f>IF(AND($G49&lt;=11,$H49&gt;=11),"■■","")</f>
        <v/>
      </c>
      <c r="U49" s="17">
        <f>IF(AND($G49&lt;=12,$H49&gt;=12),"■■","")</f>
        <v/>
      </c>
      <c r="V49" s="17">
        <f>IF(AND($G49&lt;=13,$H49&gt;=13),"■■","")</f>
        <v/>
      </c>
      <c r="W49" s="17">
        <f>IF(AND($G49&lt;=14,$H49&gt;=14),"■■","")</f>
        <v/>
      </c>
      <c r="X49" s="17">
        <f>IF(AND($G49&lt;=15,$H49&gt;=15),"■■","")</f>
        <v/>
      </c>
      <c r="Y49" s="17" t="n"/>
      <c r="Z49" s="17" t="n"/>
      <c r="AA49" s="17" t="n"/>
      <c r="AB49" s="16" t="inlineStr">
        <is>
          <t>kubeconfig 分发完成，API Server 未暴露公网，变更审批路径可用</t>
        </is>
      </c>
      <c r="AC49" s="16" t="inlineStr">
        <is>
          <t>已完成</t>
        </is>
      </c>
      <c r="AD49" s="17">
        <f>IF($H49&lt;$G49,0,$F49/($H49-$G49+1))</f>
        <v/>
      </c>
    </row>
    <row r="50" ht="14.25" customHeight="1" s="11">
      <c r="A50" s="15" t="inlineStr">
        <is>
          <t>D5</t>
        </is>
      </c>
      <c r="B50" s="15" t="n">
        <v>47</v>
      </c>
      <c r="C50" s="16" t="inlineStr">
        <is>
          <t>ALB 安全组源收敛为 WAF/DCDN 回源段 + SNI 域名校验</t>
        </is>
      </c>
      <c r="D50" s="15" t="inlineStr">
        <is>
          <t>人员A</t>
        </is>
      </c>
      <c r="E50" s="16" t="inlineStr">
        <is>
          <t>22</t>
        </is>
      </c>
      <c r="F50" s="17" t="n">
        <v>1</v>
      </c>
      <c r="G50" s="17" t="n">
        <v>14</v>
      </c>
      <c r="H50" s="17" t="n">
        <v>14</v>
      </c>
      <c r="I50" s="47">
        <f>说明与总览!$B$21+VALUE(MID($A50,2,1))-1</f>
        <v/>
      </c>
      <c r="J50" s="17">
        <f>IF(AND($G50&lt;=1,$H50&gt;=1),"■■","")</f>
        <v/>
      </c>
      <c r="K50" s="17">
        <f>IF(AND($G50&lt;=2,$H50&gt;=2),"■■","")</f>
        <v/>
      </c>
      <c r="L50" s="17">
        <f>IF(AND($G50&lt;=3,$H50&gt;=3),"■■","")</f>
        <v/>
      </c>
      <c r="M50" s="17">
        <f>IF(AND($G50&lt;=4,$H50&gt;=4),"■■","")</f>
        <v/>
      </c>
      <c r="N50" s="17">
        <f>IF(AND($G50&lt;=5,$H50&gt;=5),"■■","")</f>
        <v/>
      </c>
      <c r="O50" s="17">
        <f>IF(AND($G50&lt;=6,$H50&gt;=6),"■■","")</f>
        <v/>
      </c>
      <c r="P50" s="17">
        <f>IF(AND($G50&lt;=7,$H50&gt;=7),"■■","")</f>
        <v/>
      </c>
      <c r="Q50" s="17">
        <f>IF(AND($G50&lt;=8,$H50&gt;=8),"■■","")</f>
        <v/>
      </c>
      <c r="R50" s="17">
        <f>IF(AND($G50&lt;=9,$H50&gt;=9),"■■","")</f>
        <v/>
      </c>
      <c r="S50" s="17">
        <f>IF(AND($G50&lt;=10,$H50&gt;=10),"■■","")</f>
        <v/>
      </c>
      <c r="T50" s="17">
        <f>IF(AND($G50&lt;=11,$H50&gt;=11),"■■","")</f>
        <v/>
      </c>
      <c r="U50" s="17">
        <f>IF(AND($G50&lt;=12,$H50&gt;=12),"■■","")</f>
        <v/>
      </c>
      <c r="V50" s="17">
        <f>IF(AND($G50&lt;=13,$H50&gt;=13),"■■","")</f>
        <v/>
      </c>
      <c r="W50" s="17">
        <f>IF(AND($G50&lt;=14,$H50&gt;=14),"■■","")</f>
        <v/>
      </c>
      <c r="X50" s="17">
        <f>IF(AND($G50&lt;=15,$H50&gt;=15),"■■","")</f>
        <v/>
      </c>
      <c r="Y50" s="17" t="n"/>
      <c r="Z50" s="17" t="n"/>
      <c r="AA50" s="17" t="n"/>
      <c r="AB50" s="16" t="inlineStr">
        <is>
          <t>定稿更正（2026-10-06 裁定 A，任务 47）：ALB 入向保持 0.0.0.0/0 :80,443 不收敛（WAF 3.0 = 云原生 SDK 接入）；未匹配 Host 由 Ingress catchall/Host 规则兜底；直连 ALB 公网 IP 可达属已接受风险</t>
        </is>
      </c>
      <c r="AC50" s="16" t="inlineStr">
        <is>
          <t>已完成（2026-10-12：两地 ALB 均有 443 监听，SNI 与 Host 兜底规则已落地；「源收敛」分支按 2026-10-06 定稿改为不收敛）</t>
        </is>
      </c>
      <c r="AD50" s="17">
        <f>IF($H50&lt;$G50,0,$F50/($H50-$G50+1))</f>
        <v/>
      </c>
    </row>
    <row r="51" ht="14.25" customHeight="1" s="11">
      <c r="A51" s="15" t="inlineStr">
        <is>
          <t>D5</t>
        </is>
      </c>
      <c r="B51" s="15" t="n">
        <v>48</v>
      </c>
      <c r="C51" s="16" t="inlineStr">
        <is>
          <t>支付回调源 IP 白名单 + 签名校验验证</t>
        </is>
      </c>
      <c r="D51" s="15" t="inlineStr">
        <is>
          <t>人员B</t>
        </is>
      </c>
      <c r="E51" s="16" t="inlineStr">
        <is>
          <t>20,22</t>
        </is>
      </c>
      <c r="F51" s="17" t="n">
        <v>1</v>
      </c>
      <c r="G51" s="17" t="n">
        <v>15</v>
      </c>
      <c r="H51" s="17" t="n">
        <v>15</v>
      </c>
      <c r="I51" s="47">
        <f>说明与总览!$B$21+VALUE(MID($A51,2,1))-1</f>
        <v/>
      </c>
      <c r="J51" s="17">
        <f>IF(AND($G51&lt;=1,$H51&gt;=1),"■■","")</f>
        <v/>
      </c>
      <c r="K51" s="17">
        <f>IF(AND($G51&lt;=2,$H51&gt;=2),"■■","")</f>
        <v/>
      </c>
      <c r="L51" s="17">
        <f>IF(AND($G51&lt;=3,$H51&gt;=3),"■■","")</f>
        <v/>
      </c>
      <c r="M51" s="17">
        <f>IF(AND($G51&lt;=4,$H51&gt;=4),"■■","")</f>
        <v/>
      </c>
      <c r="N51" s="17">
        <f>IF(AND($G51&lt;=5,$H51&gt;=5),"■■","")</f>
        <v/>
      </c>
      <c r="O51" s="17">
        <f>IF(AND($G51&lt;=6,$H51&gt;=6),"■■","")</f>
        <v/>
      </c>
      <c r="P51" s="17">
        <f>IF(AND($G51&lt;=7,$H51&gt;=7),"■■","")</f>
        <v/>
      </c>
      <c r="Q51" s="17">
        <f>IF(AND($G51&lt;=8,$H51&gt;=8),"■■","")</f>
        <v/>
      </c>
      <c r="R51" s="17">
        <f>IF(AND($G51&lt;=9,$H51&gt;=9),"■■","")</f>
        <v/>
      </c>
      <c r="S51" s="17">
        <f>IF(AND($G51&lt;=10,$H51&gt;=10),"■■","")</f>
        <v/>
      </c>
      <c r="T51" s="17">
        <f>IF(AND($G51&lt;=11,$H51&gt;=11),"■■","")</f>
        <v/>
      </c>
      <c r="U51" s="17">
        <f>IF(AND($G51&lt;=12,$H51&gt;=12),"■■","")</f>
        <v/>
      </c>
      <c r="V51" s="17">
        <f>IF(AND($G51&lt;=13,$H51&gt;=13),"■■","")</f>
        <v/>
      </c>
      <c r="W51" s="17">
        <f>IF(AND($G51&lt;=14,$H51&gt;=14),"■■","")</f>
        <v/>
      </c>
      <c r="X51" s="17">
        <f>IF(AND($G51&lt;=15,$H51&gt;=15),"■■","")</f>
        <v/>
      </c>
      <c r="Y51" s="17" t="n"/>
      <c r="Z51" s="17" t="n"/>
      <c r="AA51" s="17" t="n"/>
      <c r="AB51" s="16" t="inlineStr">
        <is>
          <t>伪造源 IP 回调被拒，合法回调放行</t>
        </is>
      </c>
      <c r="AC51" s="16" t="inlineStr">
        <is>
          <t>未开始</t>
        </is>
      </c>
      <c r="AD51" s="17">
        <f>IF($H51&lt;$G51,0,$F51/($H51-$G51+1))</f>
        <v/>
      </c>
    </row>
    <row r="52" ht="14.25" customHeight="1" s="11">
      <c r="A52" s="15" t="inlineStr">
        <is>
          <t>D5</t>
        </is>
      </c>
      <c r="B52" s="15" t="n">
        <v>49</v>
      </c>
      <c r="C52" s="16" t="inlineStr">
        <is>
          <t>备 region Tair 预热策略与接管前 warmup 验证</t>
        </is>
      </c>
      <c r="D52" s="15" t="inlineStr">
        <is>
          <t>人员B</t>
        </is>
      </c>
      <c r="E52" s="16" t="inlineStr">
        <is>
          <t>29,30</t>
        </is>
      </c>
      <c r="F52" s="17" t="n">
        <v>2</v>
      </c>
      <c r="G52" s="17" t="n">
        <v>14</v>
      </c>
      <c r="H52" s="17" t="n">
        <v>14</v>
      </c>
      <c r="I52" s="47">
        <f>说明与总览!$B$21+VALUE(MID($A52,2,1))-1</f>
        <v/>
      </c>
      <c r="J52" s="17">
        <f>IF(AND($G52&lt;=1,$H52&gt;=1),"■■","")</f>
        <v/>
      </c>
      <c r="K52" s="17">
        <f>IF(AND($G52&lt;=2,$H52&gt;=2),"■■","")</f>
        <v/>
      </c>
      <c r="L52" s="17">
        <f>IF(AND($G52&lt;=3,$H52&gt;=3),"■■","")</f>
        <v/>
      </c>
      <c r="M52" s="17">
        <f>IF(AND($G52&lt;=4,$H52&gt;=4),"■■","")</f>
        <v/>
      </c>
      <c r="N52" s="17">
        <f>IF(AND($G52&lt;=5,$H52&gt;=5),"■■","")</f>
        <v/>
      </c>
      <c r="O52" s="17">
        <f>IF(AND($G52&lt;=6,$H52&gt;=6),"■■","")</f>
        <v/>
      </c>
      <c r="P52" s="17">
        <f>IF(AND($G52&lt;=7,$H52&gt;=7),"■■","")</f>
        <v/>
      </c>
      <c r="Q52" s="17">
        <f>IF(AND($G52&lt;=8,$H52&gt;=8),"■■","")</f>
        <v/>
      </c>
      <c r="R52" s="17">
        <f>IF(AND($G52&lt;=9,$H52&gt;=9),"■■","")</f>
        <v/>
      </c>
      <c r="S52" s="17">
        <f>IF(AND($G52&lt;=10,$H52&gt;=10),"■■","")</f>
        <v/>
      </c>
      <c r="T52" s="17">
        <f>IF(AND($G52&lt;=11,$H52&gt;=11),"■■","")</f>
        <v/>
      </c>
      <c r="U52" s="17">
        <f>IF(AND($G52&lt;=12,$H52&gt;=12),"■■","")</f>
        <v/>
      </c>
      <c r="V52" s="17">
        <f>IF(AND($G52&lt;=13,$H52&gt;=13),"■■","")</f>
        <v/>
      </c>
      <c r="W52" s="17">
        <f>IF(AND($G52&lt;=14,$H52&gt;=14),"■■","")</f>
        <v/>
      </c>
      <c r="X52" s="17">
        <f>IF(AND($G52&lt;=15,$H52&gt;=15),"■■","")</f>
        <v/>
      </c>
      <c r="Y52" s="17" t="n"/>
      <c r="Z52" s="17" t="n"/>
      <c r="AA52" s="17" t="n"/>
      <c r="AB52" s="16" t="inlineStr">
        <is>
          <t>接管前 warmup 执行完成，令牌缓存命中率恢复至常态</t>
        </is>
      </c>
      <c r="AC52" s="16" t="inlineStr">
        <is>
          <t>未开始</t>
        </is>
      </c>
      <c r="AD52" s="17">
        <f>IF($H52&lt;$G52,0,$F52/($H52-$G52+1))</f>
        <v/>
      </c>
    </row>
    <row r="53" ht="14.25" customHeight="1" s="11">
      <c r="A53" s="15" t="inlineStr">
        <is>
          <t>D2</t>
        </is>
      </c>
      <c r="B53" s="15" t="n">
        <v>50</v>
      </c>
      <c r="C53" s="16" t="inlineStr">
        <is>
          <t>PITR 备份恢复演练（记录 RPO / RTO）</t>
        </is>
      </c>
      <c r="D53" s="15" t="inlineStr">
        <is>
          <t>人员B</t>
        </is>
      </c>
      <c r="E53" s="16" t="inlineStr">
        <is>
          <t>14,9</t>
        </is>
      </c>
      <c r="F53" s="17" t="n">
        <v>3</v>
      </c>
      <c r="G53" s="17" t="n">
        <v>5</v>
      </c>
      <c r="H53" s="17" t="n">
        <v>5</v>
      </c>
      <c r="I53" s="47">
        <f>说明与总览!$B$21+VALUE(MID($A53,2,1))-1</f>
        <v/>
      </c>
      <c r="J53" s="17">
        <f>IF(AND($G53&lt;=1,$H53&gt;=1),"■■","")</f>
        <v/>
      </c>
      <c r="K53" s="17">
        <f>IF(AND($G53&lt;=2,$H53&gt;=2),"■■","")</f>
        <v/>
      </c>
      <c r="L53" s="17">
        <f>IF(AND($G53&lt;=3,$H53&gt;=3),"■■","")</f>
        <v/>
      </c>
      <c r="M53" s="17">
        <f>IF(AND($G53&lt;=4,$H53&gt;=4),"■■","")</f>
        <v/>
      </c>
      <c r="N53" s="17">
        <f>IF(AND($G53&lt;=5,$H53&gt;=5),"■■","")</f>
        <v/>
      </c>
      <c r="O53" s="17">
        <f>IF(AND($G53&lt;=6,$H53&gt;=6),"■■","")</f>
        <v/>
      </c>
      <c r="P53" s="17">
        <f>IF(AND($G53&lt;=7,$H53&gt;=7),"■■","")</f>
        <v/>
      </c>
      <c r="Q53" s="17">
        <f>IF(AND($G53&lt;=8,$H53&gt;=8),"■■","")</f>
        <v/>
      </c>
      <c r="R53" s="17">
        <f>IF(AND($G53&lt;=9,$H53&gt;=9),"■■","")</f>
        <v/>
      </c>
      <c r="S53" s="17">
        <f>IF(AND($G53&lt;=10,$H53&gt;=10),"■■","")</f>
        <v/>
      </c>
      <c r="T53" s="17">
        <f>IF(AND($G53&lt;=11,$H53&gt;=11),"■■","")</f>
        <v/>
      </c>
      <c r="U53" s="17">
        <f>IF(AND($G53&lt;=12,$H53&gt;=12),"■■","")</f>
        <v/>
      </c>
      <c r="V53" s="17">
        <f>IF(AND($G53&lt;=13,$H53&gt;=13),"■■","")</f>
        <v/>
      </c>
      <c r="W53" s="17">
        <f>IF(AND($G53&lt;=14,$H53&gt;=14),"■■","")</f>
        <v/>
      </c>
      <c r="X53" s="17">
        <f>IF(AND($G53&lt;=15,$H53&gt;=15),"■■","")</f>
        <v/>
      </c>
      <c r="Y53" s="17" t="n"/>
      <c r="Z53" s="17" t="n"/>
      <c r="AA53" s="17" t="n"/>
      <c r="AB53" s="16" t="inlineStr">
        <is>
          <t>从备份恢复到新实例成功，RPO/RTO 实测值回填台账</t>
        </is>
      </c>
      <c r="AC53" s="16" t="inlineStr">
        <is>
          <t>未开始</t>
        </is>
      </c>
      <c r="AD53" s="17">
        <f>IF($H53&lt;$G53,0,$F53/($H53-$G53+1))</f>
        <v/>
      </c>
    </row>
    <row r="54" ht="14.25" customHeight="1" s="11">
      <c r="A54" s="15" t="inlineStr">
        <is>
          <t>D5</t>
        </is>
      </c>
      <c r="B54" s="15" t="n">
        <v>51</v>
      </c>
      <c r="C54" s="16" t="inlineStr">
        <is>
          <t>上游渠道 RPM / TPM 配额盘点与限流参数校准</t>
        </is>
      </c>
      <c r="D54" s="15" t="inlineStr">
        <is>
          <t>人员B</t>
        </is>
      </c>
      <c r="E54" s="16" t="inlineStr">
        <is>
          <t>30</t>
        </is>
      </c>
      <c r="F54" s="17" t="n">
        <v>1</v>
      </c>
      <c r="G54" s="17" t="n">
        <v>15</v>
      </c>
      <c r="H54" s="17" t="n">
        <v>15</v>
      </c>
      <c r="I54" s="47">
        <f>说明与总览!$B$21+VALUE(MID($A54,2,1))-1</f>
        <v/>
      </c>
      <c r="J54" s="17">
        <f>IF(AND($G54&lt;=1,$H54&gt;=1),"■■","")</f>
        <v/>
      </c>
      <c r="K54" s="17">
        <f>IF(AND($G54&lt;=2,$H54&gt;=2),"■■","")</f>
        <v/>
      </c>
      <c r="L54" s="17">
        <f>IF(AND($G54&lt;=3,$H54&gt;=3),"■■","")</f>
        <v/>
      </c>
      <c r="M54" s="17">
        <f>IF(AND($G54&lt;=4,$H54&gt;=4),"■■","")</f>
        <v/>
      </c>
      <c r="N54" s="17">
        <f>IF(AND($G54&lt;=5,$H54&gt;=5),"■■","")</f>
        <v/>
      </c>
      <c r="O54" s="17">
        <f>IF(AND($G54&lt;=6,$H54&gt;=6),"■■","")</f>
        <v/>
      </c>
      <c r="P54" s="17">
        <f>IF(AND($G54&lt;=7,$H54&gt;=7),"■■","")</f>
        <v/>
      </c>
      <c r="Q54" s="17">
        <f>IF(AND($G54&lt;=8,$H54&gt;=8),"■■","")</f>
        <v/>
      </c>
      <c r="R54" s="17">
        <f>IF(AND($G54&lt;=9,$H54&gt;=9),"■■","")</f>
        <v/>
      </c>
      <c r="S54" s="17">
        <f>IF(AND($G54&lt;=10,$H54&gt;=10),"■■","")</f>
        <v/>
      </c>
      <c r="T54" s="17">
        <f>IF(AND($G54&lt;=11,$H54&gt;=11),"■■","")</f>
        <v/>
      </c>
      <c r="U54" s="17">
        <f>IF(AND($G54&lt;=12,$H54&gt;=12),"■■","")</f>
        <v/>
      </c>
      <c r="V54" s="17">
        <f>IF(AND($G54&lt;=13,$H54&gt;=13),"■■","")</f>
        <v/>
      </c>
      <c r="W54" s="17">
        <f>IF(AND($G54&lt;=14,$H54&gt;=14),"■■","")</f>
        <v/>
      </c>
      <c r="X54" s="17">
        <f>IF(AND($G54&lt;=15,$H54&gt;=15),"■■","")</f>
        <v/>
      </c>
      <c r="Y54" s="17" t="n"/>
      <c r="Z54" s="17" t="n"/>
      <c r="AA54" s="17" t="n"/>
      <c r="AB54" s="16" t="inlineStr">
        <is>
          <t>各渠道 RPM/TPM 台账完成，限流参数与之对齐</t>
        </is>
      </c>
      <c r="AC54" s="16" t="inlineStr">
        <is>
          <t>未开始</t>
        </is>
      </c>
      <c r="AD54" s="17">
        <f>IF($H54&lt;$G54,0,$F54/($H54-$G54+1))</f>
        <v/>
      </c>
    </row>
    <row r="55" ht="14.25" customHeight="1" s="11">
      <c r="A55" s="15" t="inlineStr">
        <is>
          <t>D5</t>
        </is>
      </c>
      <c r="B55" s="15" t="n">
        <v>52</v>
      </c>
      <c r="C55" s="16" t="inlineStr">
        <is>
          <t>带宽与规格量化（NAT / EIP / ALB LCU）+ 成本量化表</t>
        </is>
      </c>
      <c r="D55" s="15" t="inlineStr">
        <is>
          <t>人员A</t>
        </is>
      </c>
      <c r="E55" s="16" t="inlineStr">
        <is>
          <t>6,26</t>
        </is>
      </c>
      <c r="F55" s="17" t="n">
        <v>1</v>
      </c>
      <c r="G55" s="17" t="n">
        <v>14</v>
      </c>
      <c r="H55" s="17" t="n">
        <v>14</v>
      </c>
      <c r="I55" s="47">
        <f>说明与总览!$B$21+VALUE(MID($A55,2,1))-1</f>
        <v/>
      </c>
      <c r="J55" s="17">
        <f>IF(AND($G55&lt;=1,$H55&gt;=1),"■■","")</f>
        <v/>
      </c>
      <c r="K55" s="17">
        <f>IF(AND($G55&lt;=2,$H55&gt;=2),"■■","")</f>
        <v/>
      </c>
      <c r="L55" s="17">
        <f>IF(AND($G55&lt;=3,$H55&gt;=3),"■■","")</f>
        <v/>
      </c>
      <c r="M55" s="17">
        <f>IF(AND($G55&lt;=4,$H55&gt;=4),"■■","")</f>
        <v/>
      </c>
      <c r="N55" s="17">
        <f>IF(AND($G55&lt;=5,$H55&gt;=5),"■■","")</f>
        <v/>
      </c>
      <c r="O55" s="17">
        <f>IF(AND($G55&lt;=6,$H55&gt;=6),"■■","")</f>
        <v/>
      </c>
      <c r="P55" s="17">
        <f>IF(AND($G55&lt;=7,$H55&gt;=7),"■■","")</f>
        <v/>
      </c>
      <c r="Q55" s="17">
        <f>IF(AND($G55&lt;=8,$H55&gt;=8),"■■","")</f>
        <v/>
      </c>
      <c r="R55" s="17">
        <f>IF(AND($G55&lt;=9,$H55&gt;=9),"■■","")</f>
        <v/>
      </c>
      <c r="S55" s="17">
        <f>IF(AND($G55&lt;=10,$H55&gt;=10),"■■","")</f>
        <v/>
      </c>
      <c r="T55" s="17">
        <f>IF(AND($G55&lt;=11,$H55&gt;=11),"■■","")</f>
        <v/>
      </c>
      <c r="U55" s="17">
        <f>IF(AND($G55&lt;=12,$H55&gt;=12),"■■","")</f>
        <v/>
      </c>
      <c r="V55" s="17">
        <f>IF(AND($G55&lt;=13,$H55&gt;=13),"■■","")</f>
        <v/>
      </c>
      <c r="W55" s="17">
        <f>IF(AND($G55&lt;=14,$H55&gt;=14),"■■","")</f>
        <v/>
      </c>
      <c r="X55" s="17">
        <f>IF(AND($G55&lt;=15,$H55&gt;=15),"■■","")</f>
        <v/>
      </c>
      <c r="Y55" s="17" t="n"/>
      <c r="Z55" s="17" t="n"/>
      <c r="AA55" s="17" t="n"/>
      <c r="AB55" s="16" t="inlineStr">
        <is>
          <t>带宽与 ALB LCU 规格确认，月度成本估算表输出</t>
        </is>
      </c>
      <c r="AC55" s="16" t="inlineStr">
        <is>
          <t>未开始（顺延 T+14）</t>
        </is>
      </c>
      <c r="AD55" s="17">
        <f>IF($H55&lt;$G55,0,$F55/($H55-$G55+1))</f>
        <v/>
      </c>
    </row>
    <row r="56" ht="14.25" customHeight="1" s="11">
      <c r="A56" s="15" t="inlineStr">
        <is>
          <t>D5</t>
        </is>
      </c>
      <c r="B56" s="15" t="n">
        <v>53</v>
      </c>
      <c r="C56" s="16" t="inlineStr">
        <is>
          <t>配置热更新跨节点收敛验证（SYNC_FREQUENCY=30）——**渠道热更新不在此判据内**（无 Redis 时路由每请求直查 DB）</t>
        </is>
      </c>
      <c r="D56" s="15" t="inlineStr">
        <is>
          <t>人员B</t>
        </is>
      </c>
      <c r="E56" s="16" t="inlineStr">
        <is>
          <t>23,28</t>
        </is>
      </c>
      <c r="F56" s="17" t="n">
        <v>1</v>
      </c>
      <c r="G56" s="17" t="n">
        <v>15</v>
      </c>
      <c r="H56" s="17" t="n">
        <v>15</v>
      </c>
      <c r="I56" s="47">
        <f>说明与总览!$B$21+VALUE(MID($A56,2,1))-1</f>
        <v/>
      </c>
      <c r="J56" s="17">
        <f>IF(AND($G56&lt;=1,$H56&gt;=1),"■■","")</f>
        <v/>
      </c>
      <c r="K56" s="17">
        <f>IF(AND($G56&lt;=2,$H56&gt;=2),"■■","")</f>
        <v/>
      </c>
      <c r="L56" s="17">
        <f>IF(AND($G56&lt;=3,$H56&gt;=3),"■■","")</f>
        <v/>
      </c>
      <c r="M56" s="17">
        <f>IF(AND($G56&lt;=4,$H56&gt;=4),"■■","")</f>
        <v/>
      </c>
      <c r="N56" s="17">
        <f>IF(AND($G56&lt;=5,$H56&gt;=5),"■■","")</f>
        <v/>
      </c>
      <c r="O56" s="17">
        <f>IF(AND($G56&lt;=6,$H56&gt;=6),"■■","")</f>
        <v/>
      </c>
      <c r="P56" s="17">
        <f>IF(AND($G56&lt;=7,$H56&gt;=7),"■■","")</f>
        <v/>
      </c>
      <c r="Q56" s="17">
        <f>IF(AND($G56&lt;=8,$H56&gt;=8),"■■","")</f>
        <v/>
      </c>
      <c r="R56" s="17">
        <f>IF(AND($G56&lt;=9,$H56&gt;=9),"■■","")</f>
        <v/>
      </c>
      <c r="S56" s="17">
        <f>IF(AND($G56&lt;=10,$H56&gt;=10),"■■","")</f>
        <v/>
      </c>
      <c r="T56" s="17">
        <f>IF(AND($G56&lt;=11,$H56&gt;=11),"■■","")</f>
        <v/>
      </c>
      <c r="U56" s="17">
        <f>IF(AND($G56&lt;=12,$H56&gt;=12),"■■","")</f>
        <v/>
      </c>
      <c r="V56" s="17">
        <f>IF(AND($G56&lt;=13,$H56&gt;=13),"■■","")</f>
        <v/>
      </c>
      <c r="W56" s="17">
        <f>IF(AND($G56&lt;=14,$H56&gt;=14),"■■","")</f>
        <v/>
      </c>
      <c r="X56" s="17">
        <f>IF(AND($G56&lt;=15,$H56&gt;=15),"■■","")</f>
        <v/>
      </c>
      <c r="Y56" s="17" t="n"/>
      <c r="Z56" s="17" t="n"/>
      <c r="AA56" s="17" t="n"/>
      <c r="AB56" s="16" t="inlineStr">
        <is>
          <t>配置变更在 **≤ 30 s（= SYNC_FREQUENCY，与节点数无关）** 内全节点收敛；跨 region 同样 ≤30 s</t>
        </is>
      </c>
      <c r="AC56" s="16" t="inlineStr">
        <is>
          <t>已完成（2026-10-06 实测通过；按更正判据，渠道热更新/改价端到端不属本卡）</t>
        </is>
      </c>
      <c r="AD56" s="17">
        <f>IF($H56&lt;$G56,0,$F56/($H56-$G56+1))</f>
        <v/>
      </c>
    </row>
    <row r="57" ht="28.5" customHeight="1" s="11">
      <c r="A57" s="15" t="inlineStr">
        <is>
          <t>D5</t>
        </is>
      </c>
      <c r="B57" s="15" t="n">
        <v>54</v>
      </c>
      <c r="C57" s="16" t="inlineStr">
        <is>
          <t>数据库迁移版本化（golang-migrate）+ expand-contract 回滚验证</t>
        </is>
      </c>
      <c r="D57" s="15" t="inlineStr">
        <is>
          <t>人员B</t>
        </is>
      </c>
      <c r="E57" s="16" t="inlineStr">
        <is>
          <t>18</t>
        </is>
      </c>
      <c r="F57" s="17" t="n">
        <v>2</v>
      </c>
      <c r="G57" s="17" t="n">
        <v>14</v>
      </c>
      <c r="H57" s="17" t="n">
        <v>14</v>
      </c>
      <c r="I57" s="47">
        <f>说明与总览!$B$21+VALUE(MID($A57,2,1))-1</f>
        <v/>
      </c>
      <c r="J57" s="17">
        <f>IF(AND($G57&lt;=1,$H57&gt;=1),"■■","")</f>
        <v/>
      </c>
      <c r="K57" s="17">
        <f>IF(AND($G57&lt;=2,$H57&gt;=2),"■■","")</f>
        <v/>
      </c>
      <c r="L57" s="17">
        <f>IF(AND($G57&lt;=3,$H57&gt;=3),"■■","")</f>
        <v/>
      </c>
      <c r="M57" s="17">
        <f>IF(AND($G57&lt;=4,$H57&gt;=4),"■■","")</f>
        <v/>
      </c>
      <c r="N57" s="17">
        <f>IF(AND($G57&lt;=5,$H57&gt;=5),"■■","")</f>
        <v/>
      </c>
      <c r="O57" s="17">
        <f>IF(AND($G57&lt;=6,$H57&gt;=6),"■■","")</f>
        <v/>
      </c>
      <c r="P57" s="17">
        <f>IF(AND($G57&lt;=7,$H57&gt;=7),"■■","")</f>
        <v/>
      </c>
      <c r="Q57" s="17">
        <f>IF(AND($G57&lt;=8,$H57&gt;=8),"■■","")</f>
        <v/>
      </c>
      <c r="R57" s="17">
        <f>IF(AND($G57&lt;=9,$H57&gt;=9),"■■","")</f>
        <v/>
      </c>
      <c r="S57" s="17">
        <f>IF(AND($G57&lt;=10,$H57&gt;=10),"■■","")</f>
        <v/>
      </c>
      <c r="T57" s="17">
        <f>IF(AND($G57&lt;=11,$H57&gt;=11),"■■","")</f>
        <v/>
      </c>
      <c r="U57" s="17">
        <f>IF(AND($G57&lt;=12,$H57&gt;=12),"■■","")</f>
        <v/>
      </c>
      <c r="V57" s="17">
        <f>IF(AND($G57&lt;=13,$H57&gt;=13),"■■","")</f>
        <v/>
      </c>
      <c r="W57" s="17">
        <f>IF(AND($G57&lt;=14,$H57&gt;=14),"■■","")</f>
        <v/>
      </c>
      <c r="X57" s="17">
        <f>IF(AND($G57&lt;=15,$H57&gt;=15),"■■","")</f>
        <v/>
      </c>
      <c r="Y57" s="17" t="n"/>
      <c r="Z57" s="17" t="n"/>
      <c r="AA57" s="17" t="n"/>
      <c r="AB57" s="16" t="inlineStr">
        <is>
          <t>迁移工具接管 schema 版本，回滚路径验证通过</t>
        </is>
      </c>
      <c r="AC57" s="16" t="inlineStr">
        <is>
          <t>已完成</t>
        </is>
      </c>
      <c r="AD57" s="17">
        <f>IF($H57&lt;$G57,0,$F57/($H57-$G57+1))</f>
        <v/>
      </c>
    </row>
    <row r="58" ht="14.25" customHeight="1" s="11">
      <c r="A58" s="15" t="inlineStr">
        <is>
          <t>D5</t>
        </is>
      </c>
      <c r="B58" s="15" t="n">
        <v>55</v>
      </c>
      <c r="C58" s="16" t="inlineStr">
        <is>
          <t>SESSION_SECRET 双密钥轮换方案与演练</t>
        </is>
      </c>
      <c r="D58" s="15" t="inlineStr">
        <is>
          <t>人员B</t>
        </is>
      </c>
      <c r="E58" s="16" t="inlineStr">
        <is>
          <t>17,28</t>
        </is>
      </c>
      <c r="F58" s="17" t="n">
        <v>1</v>
      </c>
      <c r="G58" s="17" t="n">
        <v>13</v>
      </c>
      <c r="H58" s="17" t="n">
        <v>13</v>
      </c>
      <c r="I58" s="47">
        <f>说明与总览!$B$21+VALUE(MID($A58,2,1))-1</f>
        <v/>
      </c>
      <c r="J58" s="17">
        <f>IF(AND($G58&lt;=1,$H58&gt;=1),"■■","")</f>
        <v/>
      </c>
      <c r="K58" s="17">
        <f>IF(AND($G58&lt;=2,$H58&gt;=2),"■■","")</f>
        <v/>
      </c>
      <c r="L58" s="17">
        <f>IF(AND($G58&lt;=3,$H58&gt;=3),"■■","")</f>
        <v/>
      </c>
      <c r="M58" s="17">
        <f>IF(AND($G58&lt;=4,$H58&gt;=4),"■■","")</f>
        <v/>
      </c>
      <c r="N58" s="17">
        <f>IF(AND($G58&lt;=5,$H58&gt;=5),"■■","")</f>
        <v/>
      </c>
      <c r="O58" s="17">
        <f>IF(AND($G58&lt;=6,$H58&gt;=6),"■■","")</f>
        <v/>
      </c>
      <c r="P58" s="17">
        <f>IF(AND($G58&lt;=7,$H58&gt;=7),"■■","")</f>
        <v/>
      </c>
      <c r="Q58" s="17">
        <f>IF(AND($G58&lt;=8,$H58&gt;=8),"■■","")</f>
        <v/>
      </c>
      <c r="R58" s="17">
        <f>IF(AND($G58&lt;=9,$H58&gt;=9),"■■","")</f>
        <v/>
      </c>
      <c r="S58" s="17">
        <f>IF(AND($G58&lt;=10,$H58&gt;=10),"■■","")</f>
        <v/>
      </c>
      <c r="T58" s="17">
        <f>IF(AND($G58&lt;=11,$H58&gt;=11),"■■","")</f>
        <v/>
      </c>
      <c r="U58" s="17">
        <f>IF(AND($G58&lt;=12,$H58&gt;=12),"■■","")</f>
        <v/>
      </c>
      <c r="V58" s="17">
        <f>IF(AND($G58&lt;=13,$H58&gt;=13),"■■","")</f>
        <v/>
      </c>
      <c r="W58" s="17">
        <f>IF(AND($G58&lt;=14,$H58&gt;=14),"■■","")</f>
        <v/>
      </c>
      <c r="X58" s="17">
        <f>IF(AND($G58&lt;=15,$H58&gt;=15),"■■","")</f>
        <v/>
      </c>
      <c r="Y58" s="17" t="n"/>
      <c r="Z58" s="17" t="n"/>
      <c r="AA58" s="17" t="n"/>
      <c r="AB58" s="16" t="inlineStr">
        <is>
          <t>新旧密钥并存过渡验证通过，轮换期间会话不失效</t>
        </is>
      </c>
      <c r="AC58" s="16" t="inlineStr">
        <is>
          <t>未开始</t>
        </is>
      </c>
      <c r="AD58" s="17">
        <f>IF($H58&lt;$G58,0,$F58/($H58-$G58+1))</f>
        <v/>
      </c>
    </row>
    <row r="59" ht="14.25" customHeight="1" s="11">
      <c r="A59" s="15" t="inlineStr">
        <is>
          <t>D2</t>
        </is>
      </c>
      <c r="B59" s="15" t="n">
        <v>56</v>
      </c>
      <c r="C59" s="16" t="inlineStr">
        <is>
          <t>上游供应商白名单提交与生效确认（马尼拉 + 新加坡 EIP 池）</t>
        </is>
      </c>
      <c r="D59" s="15" t="inlineStr">
        <is>
          <t>人员A</t>
        </is>
      </c>
      <c r="E59" s="16" t="inlineStr">
        <is>
          <t>6,12</t>
        </is>
      </c>
      <c r="F59" s="17" t="n">
        <v>1</v>
      </c>
      <c r="G59" s="17" t="n">
        <v>5</v>
      </c>
      <c r="H59" s="17" t="n">
        <v>5</v>
      </c>
      <c r="I59" s="47">
        <f>说明与总览!$B$21+VALUE(MID($A59,2,1))-1</f>
        <v/>
      </c>
      <c r="J59" s="17">
        <f>IF(AND($G59&lt;=1,$H59&gt;=1),"■■","")</f>
        <v/>
      </c>
      <c r="K59" s="17">
        <f>IF(AND($G59&lt;=2,$H59&gt;=2),"■■","")</f>
        <v/>
      </c>
      <c r="L59" s="17">
        <f>IF(AND($G59&lt;=3,$H59&gt;=3),"■■","")</f>
        <v/>
      </c>
      <c r="M59" s="17">
        <f>IF(AND($G59&lt;=4,$H59&gt;=4),"■■","")</f>
        <v/>
      </c>
      <c r="N59" s="17">
        <f>IF(AND($G59&lt;=5,$H59&gt;=5),"■■","")</f>
        <v/>
      </c>
      <c r="O59" s="17">
        <f>IF(AND($G59&lt;=6,$H59&gt;=6),"■■","")</f>
        <v/>
      </c>
      <c r="P59" s="17">
        <f>IF(AND($G59&lt;=7,$H59&gt;=7),"■■","")</f>
        <v/>
      </c>
      <c r="Q59" s="17">
        <f>IF(AND($G59&lt;=8,$H59&gt;=8),"■■","")</f>
        <v/>
      </c>
      <c r="R59" s="17">
        <f>IF(AND($G59&lt;=9,$H59&gt;=9),"■■","")</f>
        <v/>
      </c>
      <c r="S59" s="17">
        <f>IF(AND($G59&lt;=10,$H59&gt;=10),"■■","")</f>
        <v/>
      </c>
      <c r="T59" s="17">
        <f>IF(AND($G59&lt;=11,$H59&gt;=11),"■■","")</f>
        <v/>
      </c>
      <c r="U59" s="17">
        <f>IF(AND($G59&lt;=12,$H59&gt;=12),"■■","")</f>
        <v/>
      </c>
      <c r="V59" s="17">
        <f>IF(AND($G59&lt;=13,$H59&gt;=13),"■■","")</f>
        <v/>
      </c>
      <c r="W59" s="17">
        <f>IF(AND($G59&lt;=14,$H59&gt;=14),"■■","")</f>
        <v/>
      </c>
      <c r="X59" s="17">
        <f>IF(AND($G59&lt;=15,$H59&gt;=15),"■■","")</f>
        <v/>
      </c>
      <c r="Y59" s="17" t="n"/>
      <c r="Z59" s="17" t="n"/>
      <c r="AA59" s="17" t="n"/>
      <c r="AB59" s="16" t="inlineStr">
        <is>
          <t>8 个 EIP 均已提交并取得供应商生效确认</t>
        </is>
      </c>
      <c r="AC59" s="16" t="inlineStr">
        <is>
          <t>未开始</t>
        </is>
      </c>
      <c r="AD59" s="17">
        <f>IF($H59&lt;$G59,0,$F59/($H59-$G59+1))</f>
        <v/>
      </c>
    </row>
    <row r="61" ht="15" customHeight="1" s="11">
      <c r="A61" s="18" t="inlineStr">
        <is>
          <t>人力负荷校验（每时段单人上限 4 人时；3 段/天 = 上午 09:00–13:00 / 下午 14:00–18:00 / 晚间 19:00–23:00；数据来自上表「每时段投入」列）</t>
        </is>
      </c>
    </row>
    <row r="62" ht="14.25" customHeight="1" s="11">
      <c r="A62" s="19" t="inlineStr">
        <is>
          <t>时段</t>
        </is>
      </c>
      <c r="J62" s="19" t="inlineStr">
        <is>
          <t>S1</t>
        </is>
      </c>
      <c r="K62" s="19" t="inlineStr">
        <is>
          <t>S2</t>
        </is>
      </c>
      <c r="L62" s="19" t="inlineStr">
        <is>
          <t>S3</t>
        </is>
      </c>
      <c r="M62" s="19" t="inlineStr">
        <is>
          <t>S4</t>
        </is>
      </c>
      <c r="N62" s="19" t="inlineStr">
        <is>
          <t>S5</t>
        </is>
      </c>
      <c r="O62" s="19" t="inlineStr">
        <is>
          <t>S6</t>
        </is>
      </c>
      <c r="P62" s="19" t="inlineStr">
        <is>
          <t>S7</t>
        </is>
      </c>
      <c r="Q62" s="19" t="inlineStr">
        <is>
          <t>S8</t>
        </is>
      </c>
      <c r="R62" s="19" t="inlineStr">
        <is>
          <t>S9</t>
        </is>
      </c>
      <c r="S62" s="19" t="inlineStr">
        <is>
          <t>S10</t>
        </is>
      </c>
      <c r="T62" s="19" t="inlineStr">
        <is>
          <t>S11</t>
        </is>
      </c>
      <c r="U62" s="19" t="inlineStr">
        <is>
          <t>S12</t>
        </is>
      </c>
      <c r="V62" s="19" t="inlineStr">
        <is>
          <t>S13</t>
        </is>
      </c>
      <c r="W62" s="19" t="inlineStr">
        <is>
          <t>S14</t>
        </is>
      </c>
      <c r="X62" s="19" t="inlineStr">
        <is>
          <t>S15</t>
        </is>
      </c>
      <c r="Y62" s="19" t="n"/>
      <c r="Z62" s="19" t="n"/>
      <c r="AA62" s="19" t="n"/>
    </row>
    <row r="63" ht="14.25" customHeight="1" s="11">
      <c r="A63" s="15" t="inlineStr">
        <is>
          <t>人员A</t>
        </is>
      </c>
      <c r="J63" s="17">
        <f>SUMIFS($AD$4:$AD$59,$D$4:$D$59,"人员A",$G$4:$G$59,"&lt;=1",$H$4:$H$59,"&gt;=1")</f>
        <v/>
      </c>
      <c r="K63" s="17">
        <f>SUMIFS($AD$4:$AD$59,$D$4:$D$59,"人员A",$G$4:$G$59,"&lt;=2",$H$4:$H$59,"&gt;=2")</f>
        <v/>
      </c>
      <c r="L63" s="17">
        <f>SUMIFS($AD$4:$AD$59,$D$4:$D$59,"人员A",$G$4:$G$59,"&lt;=3",$H$4:$H$59,"&gt;=3")</f>
        <v/>
      </c>
      <c r="M63" s="17">
        <f>SUMIFS($AD$4:$AD$59,$D$4:$D$59,"人员A",$G$4:$G$59,"&lt;=4",$H$4:$H$59,"&gt;=4")</f>
        <v/>
      </c>
      <c r="N63" s="17">
        <f>SUMIFS($AD$4:$AD$59,$D$4:$D$59,"人员A",$G$4:$G$59,"&lt;=5",$H$4:$H$59,"&gt;=5")</f>
        <v/>
      </c>
      <c r="O63" s="17">
        <f>SUMIFS($AD$4:$AD$59,$D$4:$D$59,"人员A",$G$4:$G$59,"&lt;=6",$H$4:$H$59,"&gt;=6")</f>
        <v/>
      </c>
      <c r="P63" s="17">
        <f>SUMIFS($AD$4:$AD$59,$D$4:$D$59,"人员A",$G$4:$G$59,"&lt;=7",$H$4:$H$59,"&gt;=7")</f>
        <v/>
      </c>
      <c r="Q63" s="17">
        <f>SUMIFS($AD$4:$AD$59,$D$4:$D$59,"人员A",$G$4:$G$59,"&lt;=8",$H$4:$H$59,"&gt;=8")</f>
        <v/>
      </c>
      <c r="R63" s="17">
        <f>SUMIFS($AD$4:$AD$59,$D$4:$D$59,"人员A",$G$4:$G$59,"&lt;=9",$H$4:$H$59,"&gt;=9")</f>
        <v/>
      </c>
      <c r="S63" s="17">
        <f>SUMIFS($AD$4:$AD$59,$D$4:$D$59,"人员A",$G$4:$G$59,"&lt;=10",$H$4:$H$59,"&gt;=10")</f>
        <v/>
      </c>
      <c r="T63" s="17">
        <f>SUMIFS($AD$4:$AD$59,$D$4:$D$59,"人员A",$G$4:$G$59,"&lt;=11",$H$4:$H$59,"&gt;=11")</f>
        <v/>
      </c>
      <c r="U63" s="17">
        <f>SUMIFS($AD$4:$AD$59,$D$4:$D$59,"人员A",$G$4:$G$59,"&lt;=12",$H$4:$H$59,"&gt;=12")</f>
        <v/>
      </c>
      <c r="V63" s="17">
        <f>SUMIFS($AD$4:$AD$59,$D$4:$D$59,"人员A",$G$4:$G$59,"&lt;=13",$H$4:$H$59,"&gt;=13")</f>
        <v/>
      </c>
      <c r="W63" s="17">
        <f>SUMIFS($AD$4:$AD$59,$D$4:$D$59,"人员A",$G$4:$G$59,"&lt;=14",$H$4:$H$59,"&gt;=14")</f>
        <v/>
      </c>
      <c r="X63" s="17">
        <f>SUMIFS($AD$4:$AD$59,$D$4:$D$59,"人员A",$G$4:$G$59,"&lt;=15",$H$4:$H$59,"&gt;=15")</f>
        <v/>
      </c>
      <c r="Y63" s="17" t="n"/>
      <c r="Z63" s="17" t="n"/>
      <c r="AA63" s="17" t="n"/>
    </row>
    <row r="64" ht="14.25" customHeight="1" s="11">
      <c r="A64" s="15" t="inlineStr">
        <is>
          <t>人员B</t>
        </is>
      </c>
      <c r="J64" s="17">
        <f>SUMIFS($AD$4:$AD$59,$D$4:$D$59,"人员B",$G$4:$G$59,"&lt;=1",$H$4:$H$59,"&gt;=1")</f>
        <v/>
      </c>
      <c r="K64" s="17">
        <f>SUMIFS($AD$4:$AD$59,$D$4:$D$59,"人员B",$G$4:$G$59,"&lt;=2",$H$4:$H$59,"&gt;=2")</f>
        <v/>
      </c>
      <c r="L64" s="17">
        <f>SUMIFS($AD$4:$AD$59,$D$4:$D$59,"人员B",$G$4:$G$59,"&lt;=3",$H$4:$H$59,"&gt;=3")</f>
        <v/>
      </c>
      <c r="M64" s="17">
        <f>SUMIFS($AD$4:$AD$59,$D$4:$D$59,"人员B",$G$4:$G$59,"&lt;=4",$H$4:$H$59,"&gt;=4")</f>
        <v/>
      </c>
      <c r="N64" s="17">
        <f>SUMIFS($AD$4:$AD$59,$D$4:$D$59,"人员B",$G$4:$G$59,"&lt;=5",$H$4:$H$59,"&gt;=5")</f>
        <v/>
      </c>
      <c r="O64" s="17">
        <f>SUMIFS($AD$4:$AD$59,$D$4:$D$59,"人员B",$G$4:$G$59,"&lt;=6",$H$4:$H$59,"&gt;=6")</f>
        <v/>
      </c>
      <c r="P64" s="17">
        <f>SUMIFS($AD$4:$AD$59,$D$4:$D$59,"人员B",$G$4:$G$59,"&lt;=7",$H$4:$H$59,"&gt;=7")</f>
        <v/>
      </c>
      <c r="Q64" s="17">
        <f>SUMIFS($AD$4:$AD$59,$D$4:$D$59,"人员B",$G$4:$G$59,"&lt;=8",$H$4:$H$59,"&gt;=8")</f>
        <v/>
      </c>
      <c r="R64" s="17">
        <f>SUMIFS($AD$4:$AD$59,$D$4:$D$59,"人员B",$G$4:$G$59,"&lt;=9",$H$4:$H$59,"&gt;=9")</f>
        <v/>
      </c>
      <c r="S64" s="17">
        <f>SUMIFS($AD$4:$AD$59,$D$4:$D$59,"人员B",$G$4:$G$59,"&lt;=10",$H$4:$H$59,"&gt;=10")</f>
        <v/>
      </c>
      <c r="T64" s="17">
        <f>SUMIFS($AD$4:$AD$59,$D$4:$D$59,"人员B",$G$4:$G$59,"&lt;=11",$H$4:$H$59,"&gt;=11")</f>
        <v/>
      </c>
      <c r="U64" s="17">
        <f>SUMIFS($AD$4:$AD$59,$D$4:$D$59,"人员B",$G$4:$G$59,"&lt;=12",$H$4:$H$59,"&gt;=12")</f>
        <v/>
      </c>
      <c r="V64" s="17">
        <f>SUMIFS($AD$4:$AD$59,$D$4:$D$59,"人员B",$G$4:$G$59,"&lt;=13",$H$4:$H$59,"&gt;=13")</f>
        <v/>
      </c>
      <c r="W64" s="17">
        <f>SUMIFS($AD$4:$AD$59,$D$4:$D$59,"人员B",$G$4:$G$59,"&lt;=14",$H$4:$H$59,"&gt;=14")</f>
        <v/>
      </c>
      <c r="X64" s="17">
        <f>SUMIFS($AD$4:$AD$59,$D$4:$D$59,"人员B",$G$4:$G$59,"&lt;=15",$H$4:$H$59,"&gt;=15")</f>
        <v/>
      </c>
      <c r="Y64" s="17" t="n"/>
      <c r="Z64" s="17" t="n"/>
      <c r="AA64" s="17" t="n"/>
    </row>
    <row r="65" ht="14.25" customHeight="1" s="11">
      <c r="A65" s="23" t="inlineStr">
        <is>
          <t>负荷结论</t>
        </is>
      </c>
      <c r="B65" s="23">
        <f t="array" ref="B65">IF(COUNTIF(J63:X64,"&gt;4")&gt;0,"存在超载时段，需调整排期","负荷均衡：每人每时段 ≤ 4 人时")</f>
        <v/>
      </c>
    </row>
    <row r="66" ht="14.25" customHeight="1" s="11">
      <c r="A66" s="24" t="inlineStr">
        <is>
          <t>总投入(人时)</t>
        </is>
      </c>
      <c r="B66" s="24">
        <f>SUM($F$4:$F$59)</f>
        <v/>
      </c>
      <c r="C66" s="24" t="inlineStr">
        <is>
          <t>总产能(人时，2 人 × 5 天 × 3 段 × 4 小时)</t>
        </is>
      </c>
      <c r="D66" s="24">
        <f>2*5*3*4</f>
        <v/>
      </c>
      <c r="E66" s="24">
        <f>IF($B66&lt;=$D66,"工期可行：总投入未超产能，保留 7 人时缓冲（利用率 94.2%）","超出产能，须延长工期或裁剪范围")</f>
        <v/>
      </c>
    </row>
    <row r="68" ht="15" customHeight="1" s="11">
      <c r="A68" s="18" t="inlineStr">
        <is>
          <t>T-5 / T-3 前置门禁清单（等待型与研发型前置，不占用实施工期人力；G1–G7 与 G9 为 T-5 前置，G8 与 G10–G13 为 T-3 前置；全部完成才允许 D1 启动）</t>
        </is>
      </c>
    </row>
    <row r="69" ht="14.25" customHeight="1" s="11">
      <c r="A69" s="19" t="inlineStr">
        <is>
          <t>编号</t>
        </is>
      </c>
      <c r="B69" s="19" t="inlineStr">
        <is>
          <t>前置事项</t>
        </is>
      </c>
      <c r="C69" s="19" t="inlineStr">
        <is>
          <t>类别</t>
        </is>
      </c>
      <c r="D69" s="19" t="inlineStr">
        <is>
          <t>负责角色</t>
        </is>
      </c>
      <c r="E69" s="19" t="inlineStr">
        <is>
          <t>发起时点</t>
        </is>
      </c>
      <c r="F69" s="19" t="inlineStr">
        <is>
          <t>最长等待</t>
        </is>
      </c>
      <c r="G69" s="19" t="inlineStr">
        <is>
          <t>门禁作用</t>
        </is>
      </c>
    </row>
    <row r="70" ht="28.5" customHeight="1" s="11">
      <c r="A70" s="15" t="inlineStr">
        <is>
          <t>G1</t>
        </is>
      </c>
      <c r="B70" s="16" t="inlineStr">
        <is>
          <t>注册阿里云国际站账号并发起企业实名认证</t>
        </is>
      </c>
      <c r="C70" s="17" t="inlineStr">
        <is>
          <t>账号</t>
        </is>
      </c>
      <c r="D70" s="17" t="inlineStr">
        <is>
          <t>项目负责人</t>
        </is>
      </c>
      <c r="E70" s="17" t="inlineStr">
        <is>
          <t>T-5（说明与总览!$B$22）</t>
        </is>
      </c>
      <c r="F70" s="17" t="inlineStr">
        <is>
          <t>1–2 工作日</t>
        </is>
      </c>
      <c r="G70" s="16" t="inlineStr">
        <is>
          <t>未实名无法购买 ECS/RDS，直接阻塞 D1。（对应账号表 #1/#2）</t>
        </is>
      </c>
    </row>
    <row r="71" ht="42.75" customHeight="1" s="11">
      <c r="A71" s="15" t="inlineStr">
        <is>
          <t>G2</t>
        </is>
      </c>
      <c r="B71" s="16" t="inlineStr">
        <is>
          <t>提交资源配额工单（ECS vCPU / EIP / ALB / RDS / RDS 代理 / PgBouncer / GTM）</t>
        </is>
      </c>
      <c r="C71" s="17" t="inlineStr">
        <is>
          <t>提交资源配额工单（ECS vCPU / EIP / ALB / RDS / GTM；**托管 PgBouncer 无需单独配额**）</t>
        </is>
      </c>
      <c r="D71" s="17" t="inlineStr">
        <is>
          <t>运维负责人</t>
        </is>
      </c>
      <c r="E71" s="17" t="inlineStr">
        <is>
          <t>T-5</t>
        </is>
      </c>
      <c r="F71" s="17" t="inlineStr">
        <is>
          <t>2–3 工作日（关键路径）</t>
        </is>
      </c>
      <c r="G71" s="16" t="inlineStr">
        <is>
          <t>未批复无法创建节点池与出口 EIP。（对应账号表 #7）</t>
        </is>
      </c>
    </row>
    <row r="72" ht="28.5" customHeight="1" s="11">
      <c r="A72" s="15" t="inlineStr">
        <is>
          <t>G3</t>
        </is>
      </c>
      <c r="B72" s="16" t="inlineStr">
        <is>
          <t>开通后付费、绑定支付方式、设置预算告警</t>
        </is>
      </c>
      <c r="C72" s="17" t="inlineStr">
        <is>
          <t>账号</t>
        </is>
      </c>
      <c r="D72" s="17" t="inlineStr">
        <is>
          <t>财务</t>
        </is>
      </c>
      <c r="E72" s="17" t="inlineStr">
        <is>
          <t>T-5</t>
        </is>
      </c>
      <c r="F72" s="17" t="inlineStr">
        <is>
          <t>当日</t>
        </is>
      </c>
      <c r="G72" s="16" t="inlineStr">
        <is>
          <t>未开通无法下单。（对应账号表 #3）</t>
        </is>
      </c>
    </row>
    <row r="73" ht="28.5" customHeight="1" s="11">
      <c r="A73" s="15" t="inlineStr">
        <is>
          <t>G4</t>
        </is>
      </c>
      <c r="B73" s="16" t="inlineStr">
        <is>
          <t>域名注册 + 实名认证 + NS 指向云解析并 dig 验证</t>
        </is>
      </c>
      <c r="C73" s="17" t="inlineStr">
        <is>
          <t>域名</t>
        </is>
      </c>
      <c r="D73" s="17" t="inlineStr">
        <is>
          <t>项目负责人</t>
        </is>
      </c>
      <c r="E73" s="17" t="inlineStr">
        <is>
          <t>T-5</t>
        </is>
      </c>
      <c r="F73" s="17" t="inlineStr">
        <is>
          <t>24–48h 生效</t>
        </is>
      </c>
      <c r="G73" s="16" t="inlineStr">
        <is>
          <t>NS 未生效则 D1 接入层无法验证。（对应账号表 #13/#14/#15）</t>
        </is>
      </c>
    </row>
    <row r="74" ht="28.5" customHeight="1" s="11">
      <c r="A74" s="15" t="inlineStr">
        <is>
          <t>G5</t>
        </is>
      </c>
      <c r="B74" s="16" t="inlineStr">
        <is>
          <t>SSL 通配符证书申请（*.likha.hk，TLS 1.2+1.3）</t>
        </is>
      </c>
      <c r="C74" s="17" t="inlineStr">
        <is>
          <t>证书</t>
        </is>
      </c>
      <c r="D74" s="17" t="inlineStr">
        <is>
          <t>运维负责人</t>
        </is>
      </c>
      <c r="E74" s="17" t="inlineStr">
        <is>
          <t>T-5</t>
        </is>
      </c>
      <c r="F74" s="17" t="inlineStr">
        <is>
          <t>1–24h</t>
        </is>
      </c>
      <c r="G74" s="16" t="inlineStr">
        <is>
          <t>无证书则 ALB/WAF HTTPS 不可用。（对应账号表 #17）</t>
        </is>
      </c>
    </row>
    <row r="75" ht="57" customHeight="1" s="11">
      <c r="A75" s="15" t="inlineStr">
        <is>
          <t>G6</t>
        </is>
      </c>
      <c r="B75" s="16" t="inlineStr">
        <is>
          <t>域名解析记录、GTM 地址池与证书部署配置模板就绪</t>
        </is>
      </c>
      <c r="C75" s="17" t="inlineStr">
        <is>
          <t>接入</t>
        </is>
      </c>
      <c r="D75" s="17" t="inlineStr">
        <is>
          <t>运维负责人</t>
        </is>
      </c>
      <c r="E75" s="17" t="inlineStr">
        <is>
          <t>T-5</t>
        </is>
      </c>
      <c r="F75" s="17" t="inlineStr">
        <is>
          <t>当日</t>
        </is>
      </c>
      <c r="G75" s="16" t="inlineStr">
        <is>
          <t>与 ALB/WAF 的创建时序对齐（原方案 D1 部署证书时 ALB 尚未创建；本版修正为任务 #40 在 D5 下午段（S14）执行，位于 ALB #19 / WAF #20 / 新加坡 ALB #25 全部就绪之后）。（对应账号表 #16/#18）</t>
        </is>
      </c>
    </row>
    <row r="76" ht="28.5" customHeight="1" s="11">
      <c r="A76" s="15" t="inlineStr">
        <is>
          <t>G7</t>
        </is>
      </c>
      <c r="B76" s="16" t="inlineStr">
        <is>
          <t>开通全部云产品（网络/计算/数据/接入/观测/运维访问面）</t>
        </is>
      </c>
      <c r="C76" s="17" t="inlineStr">
        <is>
          <t>产品</t>
        </is>
      </c>
      <c r="D76" s="17" t="inlineStr">
        <is>
          <t>运维负责人</t>
        </is>
      </c>
      <c r="E76" s="17" t="inlineStr">
        <is>
          <t>T-5</t>
        </is>
      </c>
      <c r="F76" s="17" t="inlineStr">
        <is>
          <t>当日</t>
        </is>
      </c>
      <c r="G76" s="16" t="inlineStr">
        <is>
          <t>国际站需逐产品开通，未开通则无法下单。（对应账号表 #8–#12）</t>
        </is>
      </c>
    </row>
    <row r="77" ht="71.25" customHeight="1" s="11">
      <c r="A77" s="15" t="inlineStr">
        <is>
          <t>G8</t>
        </is>
      </c>
      <c r="B77" s="16" t="inlineStr">
        <is>
          <t>代码侧补建项【完成并合并】：/healthz、/readyz、/metrics、限流降级改造（Redis 故障降级放行而非 fail-closed）</t>
        </is>
      </c>
      <c r="C77" s="17" t="inlineStr">
        <is>
          <t>研发</t>
        </is>
      </c>
      <c r="D77" s="17" t="inlineStr">
        <is>
          <t>后端负责人</t>
        </is>
      </c>
      <c r="E77" s="17" t="inlineStr">
        <is>
          <t>T-3</t>
        </is>
      </c>
      <c r="F77" s="17" t="inlineStr">
        <is>
          <t>1–2 工作日</t>
        </is>
      </c>
      <c r="G77" s="16" t="inlineStr">
        <is>
          <t>未完成则 SLA 99.95% 不成立（impl_deploy.md 8.2 最低配置 / R-05）；原 v2.0 仅要求「排期确认」，本版改为「必须完成」。属研发独立排期，不计入部署人时。</t>
        </is>
      </c>
    </row>
    <row r="78" ht="28.5" customHeight="1" s="11">
      <c r="A78" s="15" t="inlineStr">
        <is>
          <t>G9</t>
        </is>
      </c>
      <c r="B78" s="16" t="inlineStr">
        <is>
          <t>RAM 用户 / 资源组 / 成本标签 / MFA / ActionTrail 预建</t>
        </is>
      </c>
      <c r="C78" s="17" t="inlineStr">
        <is>
          <t>账号</t>
        </is>
      </c>
      <c r="D78" s="17" t="inlineStr">
        <is>
          <t>安全负责人</t>
        </is>
      </c>
      <c r="E78" s="17" t="inlineStr">
        <is>
          <t>T-5</t>
        </is>
      </c>
      <c r="F78" s="17" t="inlineStr">
        <is>
          <t>当日</t>
        </is>
      </c>
      <c r="G78" s="16" t="inlineStr">
        <is>
          <t>最小权限与审计是上线检查表必查项。（对应账号表 #4/#5/#6）</t>
        </is>
      </c>
    </row>
    <row r="79" ht="57" customHeight="1" s="11">
      <c r="A79" s="15" t="inlineStr">
        <is>
          <t>G10</t>
        </is>
      </c>
      <c r="B79" s="16" t="inlineStr">
        <is>
          <t>备 region 容量方案与配额确认（新加坡实批按量 96 vCPU、HPA 2–20、节点池自动伸缩 2–12；本期仅 PH 备，不含泰国备）</t>
        </is>
      </c>
      <c r="C79" s="17" t="inlineStr">
        <is>
          <t>容量</t>
        </is>
      </c>
      <c r="D79" s="17" t="inlineStr">
        <is>
          <t>运维负责人</t>
        </is>
      </c>
      <c r="E79" s="17" t="inlineStr">
        <is>
          <t>T-3</t>
        </is>
      </c>
      <c r="F79" s="17" t="inlineStr">
        <is>
          <t>当日</t>
        </is>
      </c>
      <c r="G79" s="16" t="inlineStr">
        <is>
          <t>未确认则备 region 无法满足「单站点全量接管 = 被接管站点 maxReplicas 13 × 1.5 = 19.5 → 20 副本」（容量下限 8 节点 / 64 vCPU，实况上限 12 节点 / 96 vCPU），M4 与 SLA 不达标。（对应账号表 #7 第二批工单）</t>
        </is>
      </c>
    </row>
    <row r="80" ht="42.75" customHeight="1" s="11">
      <c r="A80" s="15" t="inlineStr">
        <is>
          <t>G11</t>
        </is>
      </c>
      <c r="B80" s="16" t="inlineStr">
        <is>
          <t>连接数预算与 PgBouncer / RDS 代理方案确认（含三条不变量 I-1/I-2/I-3）</t>
        </is>
      </c>
      <c r="C80" s="17" t="inlineStr">
        <is>
          <t>数据</t>
        </is>
      </c>
      <c r="D80" s="17" t="inlineStr">
        <is>
          <t>后端负责人</t>
        </is>
      </c>
      <c r="E80" s="17" t="inlineStr">
        <is>
          <t>T-3</t>
        </is>
      </c>
      <c r="F80" s="17" t="inlineStr">
        <is>
          <t>当日</t>
        </is>
      </c>
      <c r="G80" s="16" t="inlineStr">
        <is>
          <t>主站扩到 16 实例时 300 × 16 = 4800 连接会打爆 PG（impl_deploy.md 8.5）。（对应账号表 #9）</t>
        </is>
      </c>
    </row>
    <row r="81" ht="42.75" customHeight="1" s="11">
      <c r="A81" s="15" t="inlineStr">
        <is>
          <t>G12</t>
        </is>
      </c>
      <c r="B81" s="16" t="inlineStr">
        <is>
          <t>SLA 口径与交付范围书面确认（五条口径 + 排除项 + 区域级故障边界 + 泰国二期）</t>
        </is>
      </c>
      <c r="C81" s="17" t="inlineStr">
        <is>
          <t>商务/架构</t>
        </is>
      </c>
      <c r="D81" s="17" t="inlineStr">
        <is>
          <t>项目负责人</t>
        </is>
      </c>
      <c r="E81" s="17" t="inlineStr">
        <is>
          <t>T-3</t>
        </is>
      </c>
      <c r="F81" s="17" t="inlineStr">
        <is>
          <t>当日</t>
        </is>
      </c>
      <c r="G81" s="16" t="inlineStr">
        <is>
          <t>不确认则 D5 验收无法判定（例：马尼拉 region 故障 30 分钟是否构成违约）。见「里程碑与验收」SLA 指标口径一节。</t>
        </is>
      </c>
    </row>
    <row r="82" ht="42.75" customHeight="1" s="11">
      <c r="A82" s="15" t="inlineStr">
        <is>
          <t>G13</t>
        </is>
      </c>
      <c r="B82" s="16" t="inlineStr">
        <is>
          <t>staging / perf 环境方案确认（位置、规格、三数据库矩阵与压测矩阵承载方式）</t>
        </is>
      </c>
      <c r="C82" s="17" t="inlineStr">
        <is>
          <t>环境</t>
        </is>
      </c>
      <c r="D82" s="17" t="inlineStr">
        <is>
          <t>运维 + 后端</t>
        </is>
      </c>
      <c r="E82" s="17" t="inlineStr">
        <is>
          <t>T-3</t>
        </is>
      </c>
      <c r="F82" s="17" t="inlineStr">
        <is>
          <t>当日</t>
        </is>
      </c>
      <c r="G82" s="16" t="inlineStr">
        <is>
          <t>未确认则任务 #33 压测与 #45 无落点；与「新加坡不部署 RDS」红线的口径冲突需一并澄清。</t>
        </is>
      </c>
    </row>
    <row r="83" ht="14.25" customHeight="1" s="11">
      <c r="A83" s="25" t="inlineStr">
        <is>
          <t>G0 门禁：以上 G1–G13 任一项未完成，D1 不得启动。其中 G1–G7 与 G9 为 T-5 前置（等待型），G8 与 G10–G13 为 T-3 前置（研发/确认型）。本版为 5 天冲刺口径：2 人全职、每天 3 个工作段（含晚间加班段）、单人每段 ≤ 4 人时，15 段共 120 人时产能、投入 113 人时（94.2%），仅余 7 人时缓冲（约 1.75 个时段/人），任一人阻塞或任一外部依赖延期即直接顺延，无内部消化空间。若无法接受该风险，可选方案：① 新增第 3 人（约 +60 人时）把利用率降到 63%；② 按「里程碑与验收」裁剪预案降级范围；③ 回退 9 天口径（78% 利用率、31 人时缓冲）。</t>
        </is>
      </c>
    </row>
  </sheetData>
  <mergeCells count="12">
    <mergeCell ref="A61:AD61"/>
    <mergeCell ref="AB2:AD2"/>
    <mergeCell ref="A2:I2"/>
    <mergeCell ref="A83:AD83"/>
    <mergeCell ref="J2:L2"/>
    <mergeCell ref="P2:R2"/>
    <mergeCell ref="B65:AD65"/>
    <mergeCell ref="A1:X1"/>
    <mergeCell ref="A68:AD68"/>
    <mergeCell ref="M2:O2"/>
    <mergeCell ref="S2:U2"/>
    <mergeCell ref="V2:X2"/>
  </mergeCells>
  <conditionalFormatting sqref="J4:X59">
    <cfRule type="cellIs" priority="1" operator="equal" dxfId="0">
      <formula>"■■"</formula>
    </cfRule>
  </conditionalFormatting>
  <conditionalFormatting sqref="J63:X64">
    <cfRule type="cellIs" priority="2" operator="greaterThan" dxfId="1">
      <formula>4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"/>
  <sheetViews>
    <sheetView topLeftCell="A24" workbookViewId="0">
      <selection activeCell="A1" sqref="A1:H1"/>
    </sheetView>
  </sheetViews>
  <sheetFormatPr baseColWidth="8" defaultColWidth="9" defaultRowHeight="13.5"/>
  <cols>
    <col width="30" customWidth="1" style="1" min="1" max="1"/>
    <col width="22.75" customWidth="1" style="1" min="2" max="2"/>
    <col width="47.5" customWidth="1" style="1" min="3" max="3"/>
    <col width="52" customWidth="1" style="1" min="4" max="4"/>
    <col width="44" customWidth="1" style="1" min="5" max="5"/>
    <col width="12" customWidth="1" style="1" min="6" max="6"/>
    <col width="10" customWidth="1" style="1" min="7" max="7"/>
    <col width="34" customWidth="1" style="1" min="8" max="8"/>
    <col width="9" customWidth="1" style="1" min="9" max="26"/>
  </cols>
  <sheetData>
    <row r="1" ht="18" customHeight="1" s="11">
      <c r="A1" s="2" t="inlineStr">
        <is>
          <t>里程碑门禁、验收证据、SLA 指标口径、关键风险与工期裁剪预案</t>
        </is>
      </c>
    </row>
    <row r="3" ht="14.25" customHeight="1" s="11">
      <c r="A3" s="3" t="inlineStr">
        <is>
          <t>里程碑</t>
        </is>
      </c>
      <c r="B3" s="3" t="inlineStr">
        <is>
          <t>偏移(日，D1=0)</t>
        </is>
      </c>
      <c r="C3" s="3" t="inlineStr">
        <is>
          <t>目标日期</t>
        </is>
      </c>
      <c r="D3" s="3" t="inlineStr">
        <is>
          <t>通过标准</t>
        </is>
      </c>
      <c r="E3" s="3" t="inlineStr">
        <is>
          <t>验收证据</t>
        </is>
      </c>
      <c r="F3" s="3" t="inlineStr">
        <is>
          <t>负责角色</t>
        </is>
      </c>
      <c r="G3" s="3" t="inlineStr">
        <is>
          <t>状态</t>
        </is>
      </c>
      <c r="H3" s="3" t="inlineStr">
        <is>
          <t>备注</t>
        </is>
      </c>
    </row>
    <row r="4" ht="42.75" customHeight="1" s="11">
      <c r="A4" s="4" t="inlineStr">
        <is>
          <t>G0 前置门禁通过</t>
        </is>
      </c>
      <c r="B4" s="5" t="n">
        <v>-5</v>
      </c>
      <c r="C4" s="48">
        <f>说明与总览!$B$21+B4</f>
        <v/>
      </c>
      <c r="D4" s="5" t="inlineStr">
        <is>
          <t>T-5 = 前置启动日。G1–G13 全部完成：账号可下单、配额已批复、域名 NS 生效、证书已签发、代码侧补建完成、备 region 容量与连接数方案确认、SLA 口径与交付范围书面确认、staging/perf 方案确认</t>
        </is>
      </c>
      <c r="E4" s="5" t="inlineStr">
        <is>
          <t>实名认证截图、配额批复工单号、dig NS 结果、证书 ID、G8 代码合并记录、G12 确认邮件</t>
        </is>
      </c>
      <c r="F4" s="5" t="inlineStr">
        <is>
          <t>项目负责人</t>
        </is>
      </c>
      <c r="G4" s="5" t="inlineStr">
        <is>
          <t>未开始</t>
        </is>
      </c>
      <c r="H4" s="5" t="inlineStr">
        <is>
          <t>未通过则 5 天工期不可达，必须顺延（D1 不得启动）。决策留痕（2026-09-24）：前置启动日 T-5 = 2026-09-23 编制时已过，本次维持原基准不变、不顺延 D1；G1–G13 未在本基准内闭环时，仍按本节门禁规则顺延。</t>
        </is>
      </c>
    </row>
    <row r="5" ht="28.5" customHeight="1" s="11">
      <c r="A5" s="4" t="inlineStr">
        <is>
          <t>M1 D1 晚间结束：合规与数据底座就绪</t>
        </is>
      </c>
      <c r="B5" s="5" t="n">
        <v>0</v>
      </c>
      <c r="C5" s="48">
        <f>说明与总览!$B$21+B5</f>
        <v/>
      </c>
      <c r="D5" s="5" t="inlineStr">
        <is>
          <t>账号合规收口（G0 收口完成）、马尼拉网络底座（VPC / 4 组 vSwitch / NAT / EIP 池）可用、ACK Pro 集群创建完成、RDS 主备 + Tair + ClickHouse + OSS + 双地域 ACR 已创建、RDS 备份策略（PITR）生效、域名 NS 复核通过</t>
        </is>
      </c>
      <c r="E5" s="5" t="inlineStr">
        <is>
          <t>VPC/EIP 清单、ACK 集群详情、RDS 实例详情、Tair 与 CH 连接测试记录、备份任务记录、dig NS 结果</t>
        </is>
      </c>
      <c r="F5" s="5" t="inlineStr">
        <is>
          <t>人员A / 人员B</t>
        </is>
      </c>
      <c r="G5" s="5" t="inlineStr">
        <is>
          <t>部分达成（2026-10-12：网络底座 / ACK / RDS / Tair / CK / OSS / ACR / 备份策略 / NS 复核均已完成；G0 未整体闭环，「双地域 ACR」按 F8 改单地域）</t>
        </is>
      </c>
      <c r="H5" s="5" t="inlineStr">
        <is>
          <t>D1 三个时段共完成 13 项任务；RDS 主备跨可用区，备份任务已有可恢复时间点</t>
        </is>
      </c>
    </row>
    <row r="6" ht="42.75" customHeight="1" s="11">
      <c r="A6" s="4" t="inlineStr">
        <is>
          <t>M2 D2 晚间结束：计算底座与主库就绪</t>
        </is>
      </c>
      <c r="B6" s="5" t="n">
        <v>1</v>
      </c>
      <c r="C6" s="48">
        <f>说明与总览!$B$21+B6</f>
        <v/>
      </c>
      <c r="D6" s="5" t="inlineStr">
        <is>
          <t>节点池实得 4×ecs.g9ae.2xlarge 跨 2 AZ Ready（三机型列表 [g9i, g8ine, g9ae]）、Namespace/ConfigMap/Secret（**手工 Opaque Secret；不使用 KMS/RRSA/ExternalSecret**）就绪、master Deployment 迁移幂等（连续两次结果一致）、马尼拉 ALB + 健康检查就绪、RDS 内置托管 PgBouncer 与连接数预算落地、运维访问面（kubeconfig / RAM→RBAC / API Server 端点 / 堡垒机）可用、PITR 恢复演练记录 RPO/RTO、上游 8 个 EIP 白名单提交</t>
        </is>
      </c>
      <c r="E6" s="5" t="inlineStr">
        <is>
          <t>节点列表、迁移两次的幂等验证记录、ALB 健康检查截图、连接数预算表、PITR 演练报告、白名单提交回执、kubeconfig 与端点策略截图</t>
        </is>
      </c>
      <c r="F6" s="5" t="inlineStr">
        <is>
          <t>人员A / 人员B</t>
        </is>
      </c>
      <c r="G6" s="5" t="inlineStr">
        <is>
          <t>部分达成（2026-10-12：节点池 4 台跨 2 AZ、手工 Opaque Secret、master 迁移幂等、马尼拉 ALB+健康检查、托管 PgBouncer、运维访问面均已完成）</t>
        </is>
      </c>
      <c r="H6" s="5" t="inlineStr">
        <is>
          <t>master 迁移必须连续两次结果一致；PgBouncer cl_waiting 无堆积；PgBouncer 须先于应用连库就位（任务 #41 早于 #18 完成配置收敛）</t>
        </is>
      </c>
    </row>
    <row r="7" ht="42.75" customHeight="1" s="11">
      <c r="A7" s="4" t="inlineStr">
        <is>
          <t>M3 D3 晚间结束：接入层与主站点灰度就绪</t>
        </is>
      </c>
      <c r="B7" s="5" t="n">
        <v>2</v>
      </c>
      <c r="C7" s="48">
        <f>说明与总览!$B$21+B7</f>
        <v/>
      </c>
      <c r="D7" s="5" t="inlineStr">
        <is>
          <t>stable 4 副本跨 AZ Ready（PDB 70% + HPA 4–13 + Pod 反亲和）、canary Deployment 就绪（✅ 2026-10-12 V1–V6 全过）、PH 备 Deployment/Service 就绪（⚠ 实况：任务 25 的 SG ALB 已于 2026-10-12 闭合，V4 会话互通仍未实测 ⇒ 仍记**部分交付**）、新加坡 ACK 集群与节点池创建完成、GTM 实例/地址池/健康探测生效（先只挂马尼拉；⚠ 任务 21 2026-09-30 裁定挂起，仍未创建）、安全组与数据库白名单逐条核对通过、staging/perf 环境跑通最小三数据库冒烟</t>
        </is>
      </c>
      <c r="E7" s="5" t="inlineStr">
        <is>
          <t>Pod 跨 AZ 分布截图、GTM 探测记录、安全组核对表、三库矩阵用例结果、新加坡集群详情</t>
        </is>
      </c>
      <c r="F7" s="5" t="inlineStr">
        <is>
          <t>人员A / 人员B</t>
        </is>
      </c>
      <c r="G7" s="5" t="inlineStr">
        <is>
          <t>部分达成（2026-10-12：stable 副本/PDB/HPA、canary V1–V6、新加坡 ACK 与 ALB（含 443+TLS）、安全组与白名单核对已完成；GTM 仍挂起、任务 28 V4 未实测、staging/perf 未建）</t>
        </is>
      </c>
      <c r="H7" s="5" t="inlineStr">
        <is>
          <t>此时系统已具备灰度发布条件；WAF 接入与主站 HPA 落在 D4/D5（任务 #20 / #43）</t>
        </is>
      </c>
    </row>
    <row r="8" ht="42.75" customHeight="1" s="11">
      <c r="A8" s="4" t="inlineStr">
        <is>
          <t>M4 D4 晚间结束：演练通过且可观测就绪</t>
        </is>
      </c>
      <c r="B8" s="5" t="n">
        <v>3</v>
      </c>
      <c r="C8" s="48">
        <f>说明与总览!$B$21+B8</f>
        <v/>
      </c>
      <c r="D8" s="5" t="inlineStr">
        <is>
          <t>WAF 3.0 接入 + CC 策略生效（⏸ 2026-10-12 F15：本轮不采购 WAF ⇒ 该项从 M3 通过标准移除，入口层无 L7 防护为知情接受缺口）、灰度发布演练（5→20→50→100 与回滚）通过、备 region 公网读写马尼拉主库成功（连接 RTT ≤ 70 ms）、备 region 接管演练与主库切换演练通过、容量压测达标（并发 SSE 1500 / 管理面 800 QPS）、**ack-goatscaler 配置就绪（扩节点动作未实测）**、新加坡 ALB 就绪、SLS/ARMS/Grafana/站点拨测可见、上线前安全核查无高危项、备 region 链路拨测与告警生效</t>
        </is>
      </c>
      <c r="E8" s="5" t="inlineStr">
        <is>
          <t>WAF 拦截记录与合规判分、灰度演练记录、连接测试记录（含 sslmode=verify-full）、演练报告（含 RTO/RPO）、压测报告、安全核查清单、看板与拨测截图</t>
        </is>
      </c>
      <c r="F8" s="5" t="inlineStr">
        <is>
          <t>人员A / 人员B</t>
        </is>
      </c>
      <c r="G8" s="5" t="inlineStr">
        <is>
          <t>未开始（⏸ 2026-10-12 F15：WAF 本轮不采购，该项已从 M3 判据移除；灰度/接管/主库切换演练与压测均未执行；观测面任务 26 已于 2026-10-10 4/4 闭环、新加坡 ALB 已就绪）</t>
        </is>
      </c>
      <c r="H8" s="5" t="inlineStr">
        <is>
          <t>阻断线：RTT &gt; 100 ms 或连接失败率 &gt; 0.1%（5 分钟滑动窗口）时暂不挂入 GTM；接管容量 = 主站 maxReplicas **13 × 1.5 = 19.5 → 20 副本**（HPA 2–20 于 D5 与上线同步落地并验证）</t>
        </is>
      </c>
    </row>
    <row r="9" ht="28.5" customHeight="1" s="11">
      <c r="A9" s="4" t="inlineStr">
        <is>
          <t>M5 D5 晚间结束：正式上线并完成移交</t>
        </is>
      </c>
      <c r="B9" s="5" t="n">
        <v>4</v>
      </c>
      <c r="C9" s="48">
        <f>说明与总览!$B$21+B9</f>
        <v/>
      </c>
      <c r="D9" s="5" t="inlineStr">
        <is>
          <t>主站 HPA **4–13** 与备 region HPA **2–20** 落地并验证、证书正式部署至 ALB/WAF/DCDN（SNI 校验通过）、上线检查表通过并完成正式上线（D5 S13）、备 region Tair 预热与支付回调源 IP 白名单验证、SLO/错误预算看板与告警通道就绪、上游 RPM/TPM 配额台账与成本量化表交付、运维移交完成</t>
        </is>
      </c>
      <c r="E9" s="5" t="inlineStr">
        <is>
          <t>HPA 扩容记录、证书 ID 与 SNI 校验结果、上线检查表、看板截图、配额台账、成本量化表、Runbook/应急预案/值班表</t>
        </is>
      </c>
      <c r="F9" s="5" t="inlineStr">
        <is>
          <t>人员A / 人员B</t>
        </is>
      </c>
      <c r="G9" s="5" t="inlineStr">
        <is>
          <t>未开始</t>
        </is>
      </c>
      <c r="H9" s="5" t="inlineStr">
        <is>
          <t>正式上线安排在 D5 S13（上午段），上线后 1 小时值守观察；D5 下午/晚间段为上线后收尾与移交</t>
        </is>
      </c>
    </row>
    <row r="11" ht="15" customHeight="1" s="11">
      <c r="A11" s="7" t="inlineStr">
        <is>
          <t>关键风险与前置依赖（2 人 / 5 天冲刺口径）</t>
        </is>
      </c>
    </row>
    <row r="12" ht="14.25" customHeight="1" s="11">
      <c r="A12" s="3" t="inlineStr">
        <is>
          <t>风险 / 前置依赖</t>
        </is>
      </c>
      <c r="B12" s="3" t="inlineStr">
        <is>
          <t>影响</t>
        </is>
      </c>
      <c r="C12" s="3" t="inlineStr">
        <is>
          <t>应对措施</t>
        </is>
      </c>
      <c r="D12" s="3" t="inlineStr">
        <is>
          <t>责任角色</t>
        </is>
      </c>
      <c r="E12" s="3" t="inlineStr">
        <is>
          <t>触发信号</t>
        </is>
      </c>
      <c r="F12" s="3" t="inlineStr">
        <is>
          <t>风险等级</t>
        </is>
      </c>
      <c r="G12" s="3" t="inlineStr">
        <is>
          <t>剩余风险</t>
        </is>
      </c>
      <c r="H12" s="3" t="inlineStr">
        <is>
          <t>备注</t>
        </is>
      </c>
    </row>
    <row r="13" ht="28.5" customHeight="1" s="11">
      <c r="A13" s="4" t="inlineStr">
        <is>
          <t>企业实名认证或配额审批未在 T-5 完成</t>
        </is>
      </c>
      <c r="B13" s="5" t="inlineStr">
        <is>
          <t>工期直接不可达，全案顺延</t>
        </is>
      </c>
      <c r="C13" s="5" t="inlineStr">
        <is>
          <t>T-5 上午立即提交；每日 18:00 跟进工单；先用已批复配额创建 VPC/ALB 等低配额资源</t>
        </is>
      </c>
      <c r="D13" s="5" t="inlineStr">
        <is>
          <t>项目负责人</t>
        </is>
      </c>
      <c r="E13" s="5" t="inlineStr">
        <is>
          <t>T-5 日落前未通过 / 未批复</t>
        </is>
      </c>
      <c r="F13" s="5" t="inlineStr">
        <is>
          <t>高</t>
        </is>
      </c>
      <c r="G13" s="5" t="inlineStr">
        <is>
          <t>工期顺延 2–3 天</t>
        </is>
      </c>
      <c r="H13" s="5" t="inlineStr">
        <is>
          <t>唯一的外部不可控项，已在 G1/G2 列为门禁。决策留痕（2026-09-24）：T-5 = 2026-09-23 已过，本期不改基准、不顺延 D1，接受该项剩余风险；T-5 后每日 18:00 跟进而未批复的，D1 即顺延（顺延不改变工期仍为 5 天的结论）。</t>
        </is>
      </c>
    </row>
    <row r="14" ht="42.75" customHeight="1" s="11">
      <c r="A14" s="4" t="inlineStr">
        <is>
          <t>备 region 配额（新加坡 ≥64 vCPU）未批复</t>
        </is>
      </c>
      <c r="B14" s="5" t="inlineStr">
        <is>
          <t>备 region 无法满足「接管 = 主站 maxReplicas 13 × 1.5 = 19.5 → 20 副本」，M4 与 SLA 不达标</t>
        </is>
      </c>
      <c r="C14" s="5" t="inlineStr">
        <is>
          <t>与主站点配额分开申请并在 T-3 前跟进；未批复时按 HPA max 12 副本（而非 20）交付并书面记录 SLA 降级——节点池实况上限 12 节点 / 96 vCPU（12 副本仅需 24 vCPU）</t>
        </is>
      </c>
      <c r="D14" s="5" t="inlineStr">
        <is>
          <t>运维负责人</t>
        </is>
      </c>
      <c r="E14" s="5" t="inlineStr">
        <is>
          <t>T-3 配额工单未批复</t>
        </is>
      </c>
      <c r="F14" s="5" t="inlineStr">
        <is>
          <t>高</t>
        </is>
      </c>
      <c r="G14" s="5" t="inlineStr">
        <is>
          <t>SLA 口径需下调或追加预算</t>
        </is>
      </c>
      <c r="H14" s="5" t="inlineStr">
        <is>
          <t>G10 门禁</t>
        </is>
      </c>
    </row>
    <row r="15" ht="57" customHeight="1" s="11">
      <c r="A15" s="4" t="inlineStr">
        <is>
          <t>代码侧补建项（/healthz、/readyz、/metrics、限流降级）未在 T-3 完成</t>
        </is>
      </c>
      <c r="B15" s="5" t="inlineStr">
        <is>
          <t>探针不准确、监控缺失、Tair 故障时 fail-closed 直接 5xx → SLA 99.95% 不成立</t>
        </is>
      </c>
      <c r="C15" s="5" t="inlineStr">
        <is>
          <t>T-3 前完成开发与合并（G8）；未完成则 D1 不得启动，或用 /api/status + TCP 临时替代并接受指标置信度下降</t>
        </is>
      </c>
      <c r="D15" s="5" t="inlineStr">
        <is>
          <t>后端负责人</t>
        </is>
      </c>
      <c r="E15" s="5" t="inlineStr">
        <is>
          <t>T-3 合并记录缺失或探针仍指向 /api/status</t>
        </is>
      </c>
      <c r="F15" s="5" t="inlineStr">
        <is>
          <t>高</t>
        </is>
      </c>
      <c r="G15" s="5" t="inlineStr">
        <is>
          <t>可用性指标置信度下降</t>
        </is>
      </c>
      <c r="H15" s="5" t="inlineStr">
        <is>
          <t>属研发工作量，不计入部署 113 人时；本版为「必须完成」的 T-3 门禁（G8）</t>
        </is>
      </c>
    </row>
    <row r="16" ht="42.75" customHeight="1" s="11">
      <c r="A16" s="4" t="inlineStr">
        <is>
          <t>仅 2 人且无人员冗余（5 天冲刺下风险升级）</t>
        </is>
      </c>
      <c r="B16" s="5" t="inlineStr">
        <is>
          <t>任一人阻塞或请假，关键路径断裂导致整体延期</t>
        </is>
      </c>
      <c r="C16" s="5" t="inlineStr">
        <is>
          <t>明确 A/B 分工并互备关键命令；每日 3 次短站会（每段结束 10 分钟）同步阻碍项；关键变更与上线操作集中在 S1/S2，晚间加班段只排低风险任务。已决策（2026-09-24）：本期不增加第 3 人。本版缓冲仅 7 人时（约 1.75 段/人），无法覆盖任一人单日缺席，人力冗余风险改由以下方式收敛：① A/B 关键命令互备，每段结束 10 分钟交接并留书面记录；② 单日任务完成率 &lt; 80% 即触发「工期裁剪预案」，自第 1 项（DCDN 延后）起顺序降级；③ 任一人员缺席当天即停止关键变更，只执行可回退任务并按 G0 规则顺延。</t>
        </is>
      </c>
      <c r="D16" s="5" t="inlineStr">
        <is>
          <t>项目负责人</t>
        </is>
      </c>
      <c r="E16" s="5" t="inlineStr">
        <is>
          <t>单日任务完成率 &lt; 80%</t>
        </is>
      </c>
      <c r="F16" s="5" t="inlineStr">
        <is>
          <t>中</t>
        </is>
      </c>
      <c r="G16" s="5" t="inlineStr">
        <is>
          <t>接受（本期不加第 3 人）；触发时按工期裁剪预案降级交付范围兜底</t>
        </is>
      </c>
      <c r="H16" s="5" t="inlineStr">
        <is>
          <t>A 负责网络/接入，B 负责数据/应用；5 天口径下缓冲由 31 人时降至 7 人时。决策留痕（2026-09-24）：不增加第 3 人，7 人时缓冲的剩余风险由裁剪预案与 A/B 互备兜底。</t>
        </is>
      </c>
    </row>
    <row r="17" ht="28.5" customHeight="1" s="11">
      <c r="A17" s="4" t="inlineStr">
        <is>
          <t>域名 NS 生效需 24–48 小时</t>
        </is>
      </c>
      <c r="B17" s="5" t="inlineStr">
        <is>
          <t>D1 接入层无法验证，顺延 D3</t>
        </is>
      </c>
      <c r="C17" s="5" t="inlineStr">
        <is>
          <t>T-5 完成 NS 托管并 dig 验证；未生效前先用 ALB 默认域名完成配置验证</t>
        </is>
      </c>
      <c r="D17" s="5" t="inlineStr">
        <is>
          <t>运维负责人</t>
        </is>
      </c>
      <c r="E17" s="5" t="inlineStr">
        <is>
          <t>dig 返回非阿里云 DNS</t>
        </is>
      </c>
      <c r="F17" s="5" t="inlineStr">
        <is>
          <t>中</t>
        </is>
      </c>
      <c r="G17" s="5" t="inlineStr">
        <is>
          <t>顺延 1 天</t>
        </is>
      </c>
      <c r="H17" s="5" t="inlineStr">
        <is>
          <t>已在 G4 列为门禁</t>
        </is>
      </c>
    </row>
    <row r="18" ht="57" customHeight="1" s="11">
      <c r="A18" s="4" t="inlineStr">
        <is>
          <t>新加坡 → 马尼拉 RDS 公网延迟或抖动</t>
        </is>
      </c>
      <c r="B18" s="5" t="inlineStr">
        <is>
          <t>备 region 接管期写延迟抬升，影响体感</t>
        </is>
      </c>
      <c r="C18" s="5" t="inlineStr">
        <is>
          <t>D4 完成实测并留存基线（任务 #30 在 D4 上午段）；RTT &gt; 100 ms 或失败率 &gt; 0.1%（5 分钟窗口）时暂不把备 region 挂入 GTM 备地址池；建议评估以 CEN / VPC 对等替代公网直连</t>
        </is>
      </c>
      <c r="D18" s="5" t="inlineStr">
        <is>
          <t>人员B</t>
        </is>
      </c>
      <c r="E18" s="5" t="inlineStr">
        <is>
          <t>拨测 RTT 超标</t>
        </is>
      </c>
      <c r="F18" s="5" t="inlineStr">
        <is>
          <t>中</t>
        </is>
      </c>
      <c r="G18" s="5" t="inlineStr">
        <is>
          <t>接管期写入 P99 抬升 ≤ 80ms</t>
        </is>
      </c>
      <c r="H18" s="5" t="inlineStr">
        <is>
          <t>链路不健康时阻断接管（任务 #39）</t>
        </is>
      </c>
    </row>
    <row r="19" ht="42.75" customHeight="1" s="11">
      <c r="A19" s="4" t="inlineStr">
        <is>
          <t>备 region 误以 master 启动导致并发迁移同一 schema</t>
        </is>
      </c>
      <c r="B19" s="5" t="inlineStr">
        <is>
          <t>迁移冲突、锁表甚至数据损坏</t>
        </is>
      </c>
      <c r="C19" s="5" t="inlineStr">
        <is>
          <t>备 region 固定 NODE_TYPE=slave 并纳入部署门禁校验；备 region 不授予迁移权限账号</t>
        </is>
      </c>
      <c r="D19" s="5" t="inlineStr">
        <is>
          <t>人员B</t>
        </is>
      </c>
      <c r="E19" s="5" t="inlineStr">
        <is>
          <t>备 region 日志出现 AutoMigrate</t>
        </is>
      </c>
      <c r="F19" s="5" t="inlineStr">
        <is>
          <t>中</t>
        </is>
      </c>
      <c r="G19" s="5" t="inlineStr">
        <is>
          <t>可控（门禁拦截）</t>
        </is>
      </c>
      <c r="H19" s="5" t="inlineStr">
        <is>
          <t>红线项</t>
        </is>
      </c>
    </row>
    <row r="20" ht="42.75" customHeight="1" s="11">
      <c r="A20" s="4" t="inlineStr">
        <is>
          <t>双写风险（主站点与备 region 同时写同一主库）</t>
        </is>
      </c>
      <c r="B20" s="5" t="inlineStr">
        <is>
          <t>计费对账分裂、额度超扣或重复扣</t>
        </is>
      </c>
      <c r="C20" s="5" t="inlineStr">
        <is>
          <t>GTM 健康探测 + 主站点 ALB 摘流共同收口；禁止本地库、只读副本与 DTS 链路；上线前演练验证</t>
        </is>
      </c>
      <c r="D20" s="5" t="inlineStr">
        <is>
          <t>人员A</t>
        </is>
      </c>
      <c r="E20" s="5" t="inlineStr">
        <is>
          <t>同一 request_id 出现双写记录</t>
        </is>
      </c>
      <c r="F20" s="5" t="inlineStr">
        <is>
          <t>中</t>
        </is>
      </c>
      <c r="G20" s="5" t="inlineStr">
        <is>
          <t>可控（架构层面消除）</t>
        </is>
      </c>
      <c r="H20" s="5" t="inlineStr">
        <is>
          <t>红线项</t>
        </is>
      </c>
    </row>
    <row r="21" ht="42.75" customHeight="1" s="11">
      <c r="A21" s="4" t="inlineStr">
        <is>
          <t>PgBouncer / RDS 代理成为新增单点</t>
        </is>
      </c>
      <c r="B21" s="5" t="inlineStr">
        <is>
          <t>池故障时全站不可用</t>
        </is>
      </c>
      <c r="C21" s="5" t="inlineStr">
        <is>
          <t>**RDS 内置托管 PgBouncer（不自建，无 3 副本 + PDB 形态）**；应用侧自动重连 + RetryTimes；预置「回退直连」应急 DSN 与演练</t>
        </is>
      </c>
      <c r="D21" s="5" t="inlineStr">
        <is>
          <t>人员B</t>
        </is>
      </c>
      <c r="E21" s="5" t="inlineStr">
        <is>
          <t>池 cl_waiting 持续堆积或 query_wait_timeout 报错</t>
        </is>
      </c>
      <c r="F21" s="5" t="inlineStr">
        <is>
          <t>中</t>
        </is>
      </c>
      <c r="G21" s="5" t="inlineStr">
        <is>
          <t>单副本 ≤ 30s 恢复；全层回退分钟级</t>
        </is>
      </c>
      <c r="H21" s="5" t="inlineStr">
        <is>
          <t>impl_deploy.md 8.4 故障域表已纳入</t>
        </is>
      </c>
    </row>
    <row r="22" ht="42.75" customHeight="1" s="11">
      <c r="A22" s="4" t="inlineStr">
        <is>
          <t>跨区公网链路（未走 CEN / VPC 对等）</t>
        </is>
      </c>
      <c r="B22" s="5" t="inlineStr">
        <is>
          <t>备 region → 主库链路概率性劣化，且公网暴露面更大</t>
        </is>
      </c>
      <c r="C22" s="5" t="inlineStr">
        <is>
          <t>T-3 评估 CEN / VPC 对等替代方案（需补开通项）；未替代前保留公网 + IP 白名单 + verify-full 收敛面</t>
        </is>
      </c>
      <c r="D22" s="5" t="inlineStr">
        <is>
          <t>人员A</t>
        </is>
      </c>
      <c r="E22" s="5" t="inlineStr">
        <is>
          <t>公网段抖动、连接失败率上升</t>
        </is>
      </c>
      <c r="F22" s="5" t="inlineStr">
        <is>
          <t>中</t>
        </is>
      </c>
      <c r="G22" s="5" t="inlineStr">
        <is>
          <t>接管成功率受影响</t>
        </is>
      </c>
      <c r="H22" s="5" t="inlineStr">
        <is>
          <t>架构改进项，优先级最高</t>
        </is>
      </c>
    </row>
    <row r="23" ht="42.75" customHeight="1" s="11">
      <c r="A23" s="4" t="inlineStr">
        <is>
          <t>上游渠道 RPM / TPM 配额不足</t>
        </is>
      </c>
      <c r="B23" s="5" t="inlineStr">
        <is>
          <t>网关核心容量约束，压测结论与真实吞吐不符</t>
        </is>
      </c>
      <c r="C23" s="5" t="inlineStr">
        <is>
          <t>T-8 前完成各渠道配额盘点并建立台账（任务 #51）；限流参数与配额对齐；必要时补充供应商账号</t>
        </is>
      </c>
      <c r="D23" s="5" t="inlineStr">
        <is>
          <t>人员B</t>
        </is>
      </c>
      <c r="E23" s="5" t="inlineStr">
        <is>
          <t>压测出现大量 429 / 渠道自动禁用告警</t>
        </is>
      </c>
      <c r="F23" s="5" t="inlineStr">
        <is>
          <t>中</t>
        </is>
      </c>
      <c r="G23" s="5" t="inlineStr">
        <is>
          <t>实际吞吐低于验收口径</t>
        </is>
      </c>
      <c r="H23" s="5" t="inlineStr">
        <is>
          <t>原方案完全未评估上游配额</t>
        </is>
      </c>
    </row>
    <row r="24" ht="57" customHeight="1" s="11">
      <c r="A24" s="4" t="inlineStr">
        <is>
          <t>成本超预算（出站带宽与 ALB LCU 为主要变量）</t>
        </is>
      </c>
      <c r="B24" s="5" t="inlineStr">
        <is>
          <t>需追加预算或降配</t>
        </is>
      </c>
      <c r="C24" s="5" t="inlineStr">
        <is>
          <t>成本标签 + 预算告警（80% 阈值）；量化表覆盖出站流量、ALB LCU、跨区公网读写、WAF 请求数、DCDN；备 region 可评估冷备形态（降低常态成本但拉长 RTO）</t>
        </is>
      </c>
      <c r="D24" s="5" t="inlineStr">
        <is>
          <t>财务</t>
        </is>
      </c>
      <c r="E24" s="5" t="inlineStr">
        <is>
          <t>月度账单达到预算 80%</t>
        </is>
      </c>
      <c r="F24" s="5" t="inlineStr">
        <is>
          <t>中</t>
        </is>
      </c>
      <c r="G24" s="5" t="inlineStr">
        <is>
          <t>RTO 由秒级变为分钟级</t>
        </is>
      </c>
      <c r="H24" s="5" t="inlineStr">
        <is>
          <t>本版新增成本量化任务 #52</t>
        </is>
      </c>
    </row>
    <row r="25" ht="42.75" customHeight="1" s="11">
      <c r="A25" s="4" t="inlineStr">
        <is>
          <t>staging / perf 环境未就绪</t>
        </is>
      </c>
      <c r="B25" s="5" t="inlineStr">
        <is>
          <t>压测与三数据库矩阵无落点，AGENTS.md 强制的三库验证缺失</t>
        </is>
      </c>
      <c r="C25" s="5" t="inlineStr">
        <is>
          <t>以马尼拉主站点命名空间 + 主站 RDS 逻辑隔离 schema 落地（任务 #45），澄清「新加坡不部署 RDS」红线仅约束 prod 备 region</t>
        </is>
      </c>
      <c r="D25" s="5" t="inlineStr">
        <is>
          <t>人员A</t>
        </is>
      </c>
      <c r="E25" s="5" t="inlineStr">
        <is>
          <t>D4 结束 M2 未包含环境就绪证据</t>
        </is>
      </c>
      <c r="F25" s="5" t="inlineStr">
        <is>
          <t>中</t>
        </is>
      </c>
      <c r="G25" s="5" t="inlineStr">
        <is>
          <t>压测结论置信度下降</t>
        </is>
      </c>
      <c r="H25" s="5" t="inlineStr">
        <is>
          <t>修复原方案 #33 无环境可跑</t>
        </is>
      </c>
    </row>
    <row r="26" ht="71.25" customHeight="1" s="11">
      <c r="A26" s="4" t="inlineStr">
        <is>
          <t>区域级 IaaS 故障（主库随马尼拉 region 失效）</t>
        </is>
      </c>
      <c r="B26" s="5" t="inlineStr">
        <is>
          <t>主站点整站故障时备 region 无库可写，原「RTO ≤ 5 min」在该情形下为伪能力</t>
        </is>
      </c>
      <c r="C26" s="5" t="inlineStr">
        <is>
          <t>已在 SLA 排除项②中排除并在 sheet7 明确「整站故障」边界 = 接入层 + 计算层，不含 RDS 所在 region 失效；RPO 依赖 PITR（目标 ≤ 5 min，须由恢复演练验证）；如客户要求覆盖该情形，需追加第三 region 主库方案</t>
        </is>
      </c>
      <c r="D26" s="5" t="inlineStr">
        <is>
          <t>架构 / 项目负责人</t>
        </is>
      </c>
      <c r="E26" s="5" t="inlineStr">
        <is>
          <t>阿里云公告马尼拉 region 级故障</t>
        </is>
      </c>
      <c r="F26" s="5" t="inlineStr">
        <is>
          <t>高</t>
        </is>
      </c>
      <c r="G26" s="5" t="inlineStr">
        <is>
          <t>须书面排除，否则验收口径不一致</t>
        </is>
      </c>
      <c r="H26" s="5" t="inlineStr">
        <is>
          <t>P0 缺口，本版通过口径澄清 + 演练闭环</t>
        </is>
      </c>
    </row>
    <row r="27" ht="42.75" customHeight="1" s="11">
      <c r="A27" s="4" t="inlineStr">
        <is>
          <t>交付范围仅菲律宾，泰国用户 RTT +55–80 ms</t>
        </is>
      </c>
      <c r="B27" s="5" t="inlineStr">
        <is>
          <t>与「主站点不能只放一个区域」的设计结论冲突</t>
        </is>
      </c>
      <c r="C27" s="5" t="inlineStr">
        <is>
          <t>在合同/验收口径中写明「本次仅覆盖菲律宾，泰国二期」；或把曼谷站点纳入二期范围并重估工期</t>
        </is>
      </c>
      <c r="D27" s="5" t="inlineStr">
        <is>
          <t>项目负责人</t>
        </is>
      </c>
      <c r="E27" s="5" t="inlineStr">
        <is>
          <t>泰国客户出现 TTFT 体感投诉</t>
        </is>
      </c>
      <c r="F27" s="5" t="inlineStr">
        <is>
          <t>中</t>
        </is>
      </c>
      <c r="G27" s="5" t="inlineStr">
        <is>
          <t>二期需补曼谷站点与 TH 备</t>
        </is>
      </c>
      <c r="H27" s="5" t="inlineStr">
        <is>
          <t>本版已在「交付范围（本次）」明确</t>
        </is>
      </c>
    </row>
    <row r="28" ht="57" customHeight="1" s="11">
      <c r="A28" s="4" t="inlineStr">
        <is>
          <t>部署窗口与国庆假期重叠（D4 = 2026-10-01 国庆当天、D5 = 2026-10-02 假期）</t>
        </is>
      </c>
      <c r="B28" s="5" t="inlineStr">
        <is>
          <t>阿里云工单响应、上游供应商白名单回执、验收人签字在假期可能延迟，直接冲击 5 天口径</t>
        </is>
      </c>
      <c r="C28" s="5" t="inlineStr">
        <is>
          <t>已决策（2026-09-24）：保留 D4/D5 窗口、不顺延（否决原 ② 顺延至 2026-10-08 的方案）。执行原 ①：T-3 前确认假期值班排班与工单加急通道并留存回执；原 ③（M4/M5 签署改为节后补签、部署动作本身不停）作为兜底。风险自担：假期内的工单响应、上游白名单回执与验收签字延迟，不再作为 D 序列顺延的理由。</t>
        </is>
      </c>
      <c r="D28" s="5" t="inlineStr">
        <is>
          <t>项目负责人</t>
        </is>
      </c>
      <c r="E28" s="5" t="inlineStr">
        <is>
          <t>T-3 前未取得假期值班与供应商确认</t>
        </is>
      </c>
      <c r="F28" s="5" t="inlineStr">
        <is>
          <t>中</t>
        </is>
      </c>
      <c r="G28" s="5" t="inlineStr">
        <is>
          <t>顺延 0–3 天（窗口保留为已决策，不因假期额外顺延；超出部分由裁剪预案吸收）</t>
        </is>
      </c>
      <c r="H28" s="5" t="inlineStr">
        <is>
          <t>仅影响中国境内团队；若实施方为境外或菲律宾本地团队则本项不成立。决策留痕（2026-09-24）：保留 D4/D5 窗口、不顺延，已否决 ② 方案（原 ②：D1 顺延至 2026-10-08、总交付不晚于 2026-10-14，仅作追溯保留）。</t>
        </is>
      </c>
    </row>
    <row r="30" ht="15" customHeight="1" s="11">
      <c r="A30" s="7" t="inlineStr">
        <is>
          <t>SLA 指标口径与排除项（对齐 impl_deploy.md 8.1 / 8.2；D5 验收前必须书面确认）</t>
        </is>
      </c>
    </row>
    <row r="31" ht="14.25" customHeight="1" s="11">
      <c r="A31" s="3" t="inlineStr">
        <is>
          <t>项</t>
        </is>
      </c>
      <c r="B31" s="3" t="inlineStr">
        <is>
          <t>定义</t>
        </is>
      </c>
    </row>
    <row r="32" ht="14.25" customHeight="1" s="11">
      <c r="A32" s="4" t="inlineStr">
        <is>
          <t>服务窗口</t>
        </is>
      </c>
      <c r="B32" s="5" t="inlineStr">
        <is>
          <t>7×24，按自然月统计（30 天 = 43,200 分钟）</t>
        </is>
      </c>
      <c r="C32" s="8" t="n"/>
      <c r="D32" s="8" t="n"/>
      <c r="E32" s="8" t="n"/>
      <c r="F32" s="8" t="n"/>
      <c r="G32" s="8" t="n"/>
      <c r="H32" s="9" t="n"/>
    </row>
    <row r="33" ht="14.25" customHeight="1" s="11">
      <c r="A33" s="4" t="inlineStr">
        <is>
          <t>不可用</t>
        </is>
      </c>
      <c r="B33" s="5" t="inlineStr">
        <is>
          <t>在探测区域内，对 /v1/chat/completions（mock 上游固定回包）或 /api/status 连续 2 个 15 s 周期返回 5xx / 连接失败 / 超 10 s 无响应</t>
        </is>
      </c>
      <c r="C33" s="8" t="n"/>
      <c r="D33" s="8" t="n"/>
      <c r="E33" s="8" t="n"/>
      <c r="F33" s="8" t="n"/>
      <c r="G33" s="8" t="n"/>
      <c r="H33" s="9" t="n"/>
    </row>
    <row r="34" ht="14.25" customHeight="1" s="11">
      <c r="A34" s="4" t="inlineStr">
        <is>
          <t>计划内维护</t>
        </is>
      </c>
      <c r="B34" s="5" t="inlineStr">
        <is>
          <t>提前 72 h 公告、每月 ≤ 30 min，且必须通过灰度实现零停机（零停机时不计入不可用）</t>
        </is>
      </c>
      <c r="C34" s="8" t="n"/>
      <c r="D34" s="8" t="n"/>
      <c r="E34" s="8" t="n"/>
      <c r="F34" s="8" t="n"/>
      <c r="G34" s="8" t="n"/>
      <c r="H34" s="9" t="n"/>
    </row>
    <row r="35" ht="14.25" customHeight="1" s="11">
      <c r="A35" s="4" t="inlineStr">
        <is>
          <t>部分降级</t>
        </is>
      </c>
      <c r="B35" s="5" t="inlineStr">
        <is>
          <t>成功率 &lt; 99.5% 或 p95 &gt; 阈值持续 5 min，计入 SLO 违约但不计入「完全不可用」，用错误预算单列跟踪</t>
        </is>
      </c>
      <c r="C35" s="8" t="n"/>
      <c r="D35" s="8" t="n"/>
      <c r="E35" s="8" t="n"/>
      <c r="F35" s="8" t="n"/>
      <c r="G35" s="8" t="n"/>
      <c r="H35" s="9" t="n"/>
    </row>
    <row r="36" ht="14.25" customHeight="1" s="11">
      <c r="A36" s="4" t="inlineStr">
        <is>
          <t>排除项</t>
        </is>
      </c>
      <c r="B36" s="5" t="inlineStr">
        <is>
          <t>① 上游供应商自身故障（new-api 只做透传与切换，不计网关 SLA）；② 阿里云公告的区域级 IaaS 故障；③ 客户侧网络与证书问题；④ 超出限流配额的 429</t>
        </is>
      </c>
      <c r="C36" s="8" t="n"/>
      <c r="D36" s="8" t="n"/>
      <c r="E36" s="8" t="n"/>
      <c r="F36" s="8" t="n"/>
      <c r="G36" s="8" t="n"/>
      <c r="H36" s="9" t="n"/>
    </row>
    <row r="37" ht="14.25" customHeight="1" s="11">
      <c r="A37" s="4" t="inlineStr">
        <is>
          <t>月度不可用预算</t>
        </is>
      </c>
      <c r="B37" s="5" t="inlineStr">
        <is>
          <t>43,200 × 0.05% = 21.6 分钟（周预算 5.04 分钟，日预算 0.72 分钟）</t>
        </is>
      </c>
      <c r="C37" s="8" t="n"/>
      <c r="D37" s="8" t="n"/>
      <c r="E37" s="8" t="n"/>
      <c r="F37" s="8" t="n"/>
      <c r="G37" s="8" t="n"/>
      <c r="H37" s="9" t="n"/>
    </row>
    <row r="38" ht="14.25" customHeight="1" s="11">
      <c r="A38" s="4" t="inlineStr">
        <is>
          <t>达成最低配置</t>
        </is>
      </c>
      <c r="B38" s="5" t="inlineStr">
        <is>
          <t>双站点 + 新加坡备 region + 主站 ≥4 副本跨 2 AZ + RDS 高可用 + Redis 限流降级改造（G8）；缺任一项则 99.95% 不成立</t>
        </is>
      </c>
      <c r="C38" s="8" t="n"/>
      <c r="D38" s="8" t="n"/>
      <c r="E38" s="8" t="n"/>
      <c r="F38" s="8" t="n"/>
      <c r="G38" s="8" t="n"/>
      <c r="H38" s="9" t="n"/>
    </row>
    <row r="39" ht="14.25" customHeight="1" s="11">
      <c r="A39" s="4" t="inlineStr">
        <is>
          <t>故障域边界（新增）</t>
        </is>
      </c>
      <c r="B39" s="5" t="inlineStr">
        <is>
          <t>「主站点整站故障 → RTO ≤ 5 min」的边界 = 接入层（ALB / WAF / GTM）+ 计算层（ACK / Pod）故障；不含 RDS 所在的马尼拉 region 整体失效（该情形属排除项②）。主库只存在于马尼拉一个 region，区域级故障下的 RPO 依赖 PITR 备份（目标 RPO ≤ 5 min，须由任务 #50 的恢复演练验证）。</t>
        </is>
      </c>
      <c r="C39" s="8" t="n"/>
      <c r="D39" s="8" t="n"/>
      <c r="E39" s="8" t="n"/>
      <c r="F39" s="8" t="n"/>
      <c r="G39" s="8" t="n"/>
      <c r="H39" s="9" t="n"/>
    </row>
    <row r="40" ht="14.25" customHeight="1" s="11">
      <c r="A40" s="4" t="inlineStr">
        <is>
          <t>指标阈值口径（新增）</t>
        </is>
      </c>
      <c r="B40" s="5" t="inlineStr">
        <is>
          <t>RTT 验收线：备 region → 主库连接 RTT ≤ 70 ms、接管期写入 P99 抬升 ≤ 80 ms；阻断线：RTT &gt; 100 ms 或连接失败率 &gt; 0.1%（5 分钟滑动窗口）。两者是「目标值」与「阻断值」，不是互相矛盾的阈值（原 v2.0 未区分标注，已澄清）。</t>
        </is>
      </c>
      <c r="C40" s="8" t="n"/>
      <c r="D40" s="8" t="n"/>
      <c r="E40" s="8" t="n"/>
      <c r="F40" s="8" t="n"/>
      <c r="G40" s="8" t="n"/>
      <c r="H40" s="9" t="n"/>
    </row>
    <row r="43" ht="15" customHeight="1" s="11">
      <c r="A43" s="7" t="inlineStr">
        <is>
          <t>工期裁剪预案（按以下顺序降级，优先保主站点可上线）</t>
        </is>
      </c>
    </row>
    <row r="44" ht="28.5" customHeight="1" s="11">
      <c r="A44" s="3" t="inlineStr">
        <is>
          <t>顺序</t>
        </is>
      </c>
      <c r="B44" s="3" t="inlineStr">
        <is>
          <t>裁剪项</t>
        </is>
      </c>
      <c r="C44" s="3" t="inlineStr">
        <is>
          <t>触发条件</t>
        </is>
      </c>
      <c r="D44" s="3" t="inlineStr">
        <is>
          <t>影响</t>
        </is>
      </c>
      <c r="E44" s="3" t="inlineStr">
        <is>
          <t>决策人</t>
        </is>
      </c>
      <c r="F44" s="3" t="inlineStr">
        <is>
          <t>是否影响 SLA</t>
        </is>
      </c>
      <c r="G44" s="3" t="inlineStr">
        <is>
          <t>可否上线后补齐</t>
        </is>
      </c>
      <c r="H44" s="3" t="inlineStr">
        <is>
          <t>备注</t>
        </is>
      </c>
    </row>
    <row r="45" ht="28.5" customHeight="1" s="11">
      <c r="A45" s="4" t="n">
        <v>1</v>
      </c>
      <c r="B45" s="5" t="inlineStr">
        <is>
          <t>DCDN 静态加速延后至上线后</t>
        </is>
      </c>
      <c r="C45" s="5" t="inlineStr">
        <is>
          <t>工期紧张</t>
        </is>
      </c>
      <c r="D45" s="5" t="inlineStr">
        <is>
          <t>静态资源不经 CDN，首屏略慢</t>
        </is>
      </c>
      <c r="E45" s="5" t="inlineStr">
        <is>
          <t>项目负责人</t>
        </is>
      </c>
      <c r="F45" s="5" t="inlineStr">
        <is>
          <t>否</t>
        </is>
      </c>
      <c r="G45" s="5" t="inlineStr">
        <is>
          <t>可</t>
        </is>
      </c>
      <c r="H45" s="5" t="inlineStr">
        <is>
          <t>改动最小</t>
        </is>
      </c>
    </row>
    <row r="46" ht="14.25" customHeight="1" s="11">
      <c r="A46" s="4" t="n">
        <v>2</v>
      </c>
      <c r="B46" s="5" t="inlineStr">
        <is>
          <t>RDS 只读实例取消</t>
        </is>
      </c>
      <c r="C46" s="5" t="inlineStr">
        <is>
          <t>成本或工期紧张</t>
        </is>
      </c>
      <c r="D46" s="5" t="inlineStr">
        <is>
          <t>报表查询与主库争用</t>
        </is>
      </c>
      <c r="E46" s="5" t="inlineStr">
        <is>
          <t>人员B</t>
        </is>
      </c>
      <c r="F46" s="5" t="inlineStr">
        <is>
          <t>否</t>
        </is>
      </c>
      <c r="G46" s="5" t="inlineStr">
        <is>
          <t>可</t>
        </is>
      </c>
      <c r="H46" s="5" t="inlineStr">
        <is>
          <t>—</t>
        </is>
      </c>
    </row>
    <row r="47" ht="42.75" customHeight="1" s="11">
      <c r="A47" s="4" t="n">
        <v>3</v>
      </c>
      <c r="B47" s="5" t="inlineStr">
        <is>
          <t>备 region 本地 ClickHouse 暂用主站点 ClickHouse</t>
        </is>
      </c>
      <c r="C47" s="5" t="inlineStr">
        <is>
          <t>工期紧张</t>
        </is>
      </c>
      <c r="D47" s="5" t="inlineStr">
        <is>
          <t>备 region 日志跨区写入，接管期略慢</t>
        </is>
      </c>
      <c r="E47" s="5" t="inlineStr">
        <is>
          <t>人员B</t>
        </is>
      </c>
      <c r="F47" s="5" t="inlineStr">
        <is>
          <t>否</t>
        </is>
      </c>
      <c r="G47" s="5" t="inlineStr">
        <is>
          <t>可</t>
        </is>
      </c>
      <c r="H47" s="5" t="inlineStr">
        <is>
          <t>不影响主链路</t>
        </is>
      </c>
    </row>
    <row r="48" ht="28.5" customHeight="1" s="11">
      <c r="A48" s="4" t="inlineStr">
        <is>
          <t>4</t>
        </is>
      </c>
      <c r="B48" s="5" t="inlineStr">
        <is>
          <t>压测验收缩短为关键场景抽测</t>
        </is>
      </c>
      <c r="C48" s="5" t="inlineStr">
        <is>
          <t>D5 时间不足</t>
        </is>
      </c>
      <c r="D48" s="5" t="inlineStr">
        <is>
          <t>容量结论置信度下降</t>
        </is>
      </c>
      <c r="E48" s="5" t="inlineStr">
        <is>
          <t>人员A</t>
        </is>
      </c>
      <c r="F48" s="5" t="inlineStr">
        <is>
          <t>否</t>
        </is>
      </c>
      <c r="G48" s="5" t="inlineStr">
        <is>
          <t>可</t>
        </is>
      </c>
      <c r="H48" s="5" t="inlineStr">
        <is>
          <t>需上线后一周内补测</t>
        </is>
      </c>
    </row>
    <row r="49" ht="42.75" customHeight="1" s="11">
      <c r="A49" s="4" t="n">
        <v>5</v>
      </c>
      <c r="B49" s="5" t="inlineStr">
        <is>
          <t>备 region 热备（2 副本）改为冷备（0 副本 + GTM 触发扩容）</t>
        </is>
      </c>
      <c r="C49" s="5" t="inlineStr">
        <is>
          <t>成本优先</t>
        </is>
      </c>
      <c r="D49" s="5" t="inlineStr">
        <is>
          <t>接管 RTO 由秒级变为分钟级</t>
        </is>
      </c>
      <c r="E49" s="5" t="inlineStr">
        <is>
          <t>项目负责人</t>
        </is>
      </c>
      <c r="F49" s="5" t="inlineStr">
        <is>
          <t>是（RTO 变长）</t>
        </is>
      </c>
      <c r="G49" s="5" t="inlineStr">
        <is>
          <t>可</t>
        </is>
      </c>
      <c r="H49" s="5" t="inlineStr">
        <is>
          <t>可用性仍可能满足 99.95%，但切换体验下降；此时 G10 的容量配额仍必须保留，否则无法扩容到 1.5× 接管容量（**20 副本 = 40 vCPU，容量下限 8 节点 / 64 vCPU**）</t>
        </is>
      </c>
    </row>
    <row r="50" ht="28.5" customHeight="1" s="11">
      <c r="A50" s="4" t="n">
        <v>6</v>
      </c>
      <c r="B50" s="5" t="inlineStr">
        <is>
          <t>GA 与泰国（曼谷）站点整体延后至二期</t>
        </is>
      </c>
      <c r="C50" s="5" t="inlineStr">
        <is>
          <t>—（本就不在本次交付范围）</t>
        </is>
      </c>
      <c r="D50" s="5" t="inlineStr">
        <is>
          <t>泰国用户 TTFT 多 55–80 ms；上游出口无加速</t>
        </is>
      </c>
      <c r="E50" s="5" t="inlineStr">
        <is>
          <t>项目负责人</t>
        </is>
      </c>
      <c r="F50" s="5" t="inlineStr">
        <is>
          <t>否（已在口径外）</t>
        </is>
      </c>
      <c r="G50" s="5" t="inlineStr">
        <is>
          <t>可</t>
        </is>
      </c>
      <c r="H50" s="5" t="inlineStr">
        <is>
          <t>二期立项时同步补曼谷站点与 TH 备</t>
        </is>
      </c>
    </row>
    <row r="51" ht="28.5" customHeight="1" s="11">
      <c r="A51" s="4" t="inlineStr">
        <is>
          <t>7</t>
        </is>
      </c>
      <c r="B51" s="5" t="inlineStr">
        <is>
          <t>备 region 整体延后至上线后第 2 周</t>
        </is>
      </c>
      <c r="C51" s="5" t="inlineStr">
        <is>
          <t>D5 结束仍未打通公网读写</t>
        </is>
      </c>
      <c r="D51" s="5" t="inlineStr">
        <is>
          <t>失去区域级容灾，SLA 目标不达标</t>
        </is>
      </c>
      <c r="E51" s="5" t="inlineStr">
        <is>
          <t>项目负责人</t>
        </is>
      </c>
      <c r="F51" s="5" t="inlineStr">
        <is>
          <t>是（SLA 不达标）</t>
        </is>
      </c>
      <c r="G51" s="5" t="inlineStr">
        <is>
          <t>可</t>
        </is>
      </c>
      <c r="H51" s="5" t="inlineStr">
        <is>
          <t>最后手段，需书面记录风险</t>
        </is>
      </c>
    </row>
    <row r="54" ht="14.25" customHeight="1" s="11">
      <c r="A54" s="10" t="inlineStr">
        <is>
          <t>工期口径变更说明（v2.1 -&gt; v2.2）：v2.0 的「5 天 / 10 时段 / 80 人时」为 100% 满负荷且前置期为 0 天；v2.1 修正前置期（T-5）、补齐 17 项评审缺口后共 56 项 / 113 人时，在「2 人 + 单人每时段 ≤ 4 人时 + 半天时段」口径下压缩进 8 天经 600 次重排无可行解，故定为 9 天（18 段 / 144 人时 / 利用率 78% / 缓冲 31 人时）。本版（v2.2）按要求压回 5 天：约束「2 人不变、每天 2 段不变」时，扫描得到的最小可行加班强度为单人 7 人时/段（即每天 14 小时），已逼近人体与操作风险上限；改用「每天 3 个工作段（新增 19:00–23:00 晚间加班段）」后，单人每段仍维持 4 人时（每天 12 小时），56 项任务在 15 段内 0 超载排布完成，故 v2.2 采用「3 段/天 × 5 天」口径。瓶颈的本质是 2 人的绝对产能（113 / 120 = 94.2%），关键路径仅 9 段（4.5 天），因此增加时段数比延长时间长度更有效。若无法接受 94.2% 利用率，三条替代路径：① 新增第 3 人（约 +60 人时，利用率降至约 63%）；② 按上方裁剪预案降级交付范围；③ 回退 9 天口径（78% 利用率、31 人时缓冲）。</t>
        </is>
      </c>
    </row>
  </sheetData>
  <mergeCells count="14">
    <mergeCell ref="B36:H36"/>
    <mergeCell ref="B32:H32"/>
    <mergeCell ref="A30:H30"/>
    <mergeCell ref="B40:H40"/>
    <mergeCell ref="B35:H35"/>
    <mergeCell ref="A43:H43"/>
    <mergeCell ref="A54:H54"/>
    <mergeCell ref="B39:H39"/>
    <mergeCell ref="B38:H38"/>
    <mergeCell ref="A11:H11"/>
    <mergeCell ref="B33:H33"/>
    <mergeCell ref="A1:H1"/>
    <mergeCell ref="B34:H34"/>
    <mergeCell ref="B37:H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2026-09-30T16:55:00Z</dcterms:created>
  <dcterms:modified xsi:type="dcterms:W3CDTF">2026-10-08T07:49:13Z</dcterms:modified>
  <cp:lastModifiedBy>pc260829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1F97EB876F54464A9F5CF8BD18A2BD38</vt:lpwstr>
  </property>
  <property name="KSOProductBuildVer" fmtid="{D5CDD505-2E9C-101B-9397-08002B2CF9AE}" pid="3">
    <vt:lpwstr>2052-11.1.0.12650</vt:lpwstr>
  </property>
</Properties>
</file>