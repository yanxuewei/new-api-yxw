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9700" windowHeight="15660" tabRatio="600" firstSheet="0" activeTab="4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FFFF0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9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8" fillId="6" borderId="1" applyAlignment="1" pivotButton="0" quotePrefix="0" xfId="0">
      <alignment horizontal="left" vertical="center" wrapText="1"/>
    </xf>
    <xf numFmtId="0" fontId="4" fillId="7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7" borderId="1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9" fillId="0" borderId="0" pivotButton="0" quotePrefix="0" xfId="0"/>
    <xf numFmtId="0" fontId="4" fillId="5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12" workbookViewId="0">
      <selection activeCell="A1" sqref="A1:B1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1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2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2" t="inlineStr">
        <is>
          <t>文档版本</t>
        </is>
      </c>
      <c r="B5" s="16" t="inlineStr">
        <is>
          <t>v2.3 + 2026-10-08 实况回改（容量口径修订 + 三项遗留决策定案；本次按《阿里云国际站菲律宾部署_详细操作指南-v2.0》2026-10-07 版的云侧实况逐格回改，依据见「修订要点」⑩）</t>
        </is>
      </c>
    </row>
    <row r="6" ht="14.25" customHeight="1" s="11">
      <c r="A6" s="42" t="inlineStr">
        <is>
          <t>编制日期</t>
        </is>
      </c>
      <c r="B6" s="16" t="inlineStr">
        <is>
          <t>2026-09-24</t>
        </is>
      </c>
    </row>
    <row r="7" ht="28.5" customHeight="1" s="11">
      <c r="A7" s="42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2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2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2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2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2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28.5" customHeight="1" s="11">
      <c r="A13" s="42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人时缓冲。⚠ 现行工期口径 = 1 人 × 4 天 / 8 个执行窗口（见指南 §0.2–§0.4），本表 5 天 / 2 人 / 15 段为 v2.3 历史口径，保留供追溯</t>
        </is>
      </c>
    </row>
    <row r="14" ht="28.5" customHeight="1" s="11">
      <c r="A14" s="42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71.25" customHeight="1" s="11">
      <c r="A15" s="42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      </is>
      </c>
    </row>
    <row r="16" ht="28.5" customHeight="1" s="11">
      <c r="A16" s="42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2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156.75" customHeight="1" s="11">
      <c r="A18" s="42" t="inlineStr">
        <is>
          <t>修订要点（v2.0 -&gt; v2.3）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超载；⑧【v2.3】备 region 容量口径改为「本期仅承载 PH 备、不含泰国备」：节点数按 Pod requests 反算并留 ≥ 20% 系统组件余量 → 8 节点，节点池 2–12 改 2–8、配额 96 改 64 vCPU；统一「1.5×」基准为 maxReplicas × 1.5；⑨【2026-09-24 决策定案】三项遗留决策：保留 D4/D5 国庆窗口（不顺延）、T-5 = 2026-09-23 基准不动、本期不增加第 3 人。⑩【2026-10-08 按指南 v2.0（2026-10-07 版）实况回改】共回改 146 格：① 机型 g8i → g9i 首选（三机型列表，实开 g9ae）；② 主站 HPA 4–16 → 4–13、备站接管 16×1.5=24 → 13×1.5=19.5 → 20 副本；PDB minAvailable=3 → 70%；③ 新加坡配额实批按量 96 vCPU、节点池上限 12（v2.3 的 64 vCPU / 8 节点保留为容量下限）；④ RDS 规格 16C64G → pg.n4.2c.2m（2C8G，max_connections=800）；⑤ PgBouncer 自建 → RDS 内置托管池（F10 撤销）；⑥ 日志库 → 马尼拉 ClickHouse 企业版单 AZ（F9），不再购买新加坡 CK；⑦ 凭据链路 → 不使用 KMS/RRSA/ExternalSecret（2026-10-05 裁定），改手工 Opaque Secret；⑧ ECS 节点池付费方式定为按量 PostPaid（F13），成本按实况整机单价重算；⑨ 备站 Pod SQL_MAX_OPEN_CONNS=10（CM 100）；⑩ 伸缩组件实名 ack-goatscaler（非 cluster-autoscaler，观测入口 cm/kube-system/autoscaler-meta）；⑪ 任务 53 收敛口径由「30s × 节点数」改为「≤30 s（与节点数、跨 region 无关）」；⑫ 健康检查路径 /api/status 与全局限流冲突（应改 /readyz 并免限流）；⑬ 落地计划 AC 列按实况回填（21 张已完成 / 8 张部分交付 / 27 张未开始）。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2" t="inlineStr">
        <is>
          <t>部署启动日（D1，落地计划日期基准）</t>
        </is>
      </c>
      <c r="B21" s="46" t="n">
        <v>46293</v>
      </c>
    </row>
    <row r="22" ht="28.5" customHeight="1" s="11">
      <c r="A22" s="42" t="inlineStr">
        <is>
          <t>前置启动日（T-5，账号/配额/域名/证书/产品开通须在此日发起）</t>
        </is>
      </c>
      <c r="B22" s="46" t="n">
        <v>46288</v>
      </c>
    </row>
    <row r="23" ht="14.25" customHeight="1" s="11">
      <c r="A23" s="42" t="inlineStr">
        <is>
          <t>投入人力</t>
        </is>
      </c>
      <c r="B23" s="16" t="inlineStr">
        <is>
          <t>2 人全职 —— 人员A：基础设施/网络/接入/SRE；人员B：数据/应用/CI-CD/DevOps（已决策 2026-09-24：本期不增加第 3 人）</t>
        </is>
      </c>
    </row>
    <row r="24" ht="42.75" customHeight="1" s="11">
      <c r="A24" s="42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      </is>
      </c>
    </row>
    <row r="25" ht="14.25" customHeight="1" s="11">
      <c r="A25" s="42" t="inlineStr">
        <is>
          <t>业务域名（统一口径，需替换为正式域名）</t>
        </is>
      </c>
      <c r="B25" s="44" t="inlineStr">
        <is>
          <t>www.likha.hk（全表统一；替代原 example-ph.com 示例）</t>
        </is>
      </c>
    </row>
    <row r="26" ht="14.25" customHeight="1" s="11">
      <c r="A26" s="42" t="inlineStr">
        <is>
          <t>运维域名（统一口径）</t>
        </is>
      </c>
      <c r="B26" s="44" t="inlineStr">
        <is>
          <t>ops.likha.hk</t>
        </is>
      </c>
    </row>
    <row r="27" ht="14.25" customHeight="1" s="11">
      <c r="A27" s="42" t="inlineStr">
        <is>
          <t>镜像仓库前缀</t>
        </is>
      </c>
      <c r="B27" s="16" t="inlineStr">
        <is>
          <t>registry-vpc.ap-southeast-6.aliyuncs.com/newapi/new-api</t>
        </is>
      </c>
    </row>
    <row r="28" ht="14.25" customHeight="1" s="11">
      <c r="A28" s="42" t="inlineStr">
        <is>
          <t>单实例规格</t>
        </is>
      </c>
      <c r="B28" s="16" t="inlineStr">
        <is>
          <t>ecs.g9i.2xlarge（8 vCPU / 32 GiB，**首选**）；节点池实配三机型列表 [g9i.2xlarge, g8ine.2xlarge, g9ae.2xlarge]，2026-10-05 实际开出 4 台 **ecs.g9ae.2xlarge**（g8i 全系未在马尼拉上架）。Pod request 2 vCPU / 4 GiB，limit 4 vCPU / 8 GiB</t>
        </is>
      </c>
    </row>
    <row r="29" ht="14.25" customHeight="1" s="11">
      <c r="A29" s="42" t="inlineStr">
        <is>
          <t>负载与副本口径</t>
        </is>
      </c>
      <c r="B29" s="16" t="inlineStr">
        <is>
          <t>主站 stable 常态 4 副本、HPA **4–13**（2026-10-06 二次裁定：`limits.cpu 64` 下真实天花板 13，原 4–16 顶不到）；PDB minAvailable 70%。备 region PH 备常态 2 副本、HPA **2–20**（接管上限 = 主站 maxReplicas 13 × 1.5 = 19.5 → 20 副本）</t>
        </is>
      </c>
    </row>
    <row r="30" ht="42.75" customHeight="1" s="11">
      <c r="A30" s="42" t="inlineStr">
        <is>
          <t>节点池与配额口径</t>
        </is>
      </c>
      <c r="B30" s="44" t="inlineStr">
        <is>
          <t>马尼拉：常态 4 节点 / 自动伸缩 4–8（8 × 8 vCPU = 64，等于按量配额上限，顶满零余量）；新加坡：常态 2 节点 / 自动伸缩 2–12（实况配额 96/96 vCPU，顶满零余量）。本期仅承载 PH 备：接管 20 副本 × Pod request 2 vCPU = 40 vCPU，÷ (7.9 × 0.8 = 6.32) ≈ 6.3 → 7 节点 ⇒ v2.3 的「8 节点 / 64 vCPU」反算仍成立（容量下限），实况上限为 12 节点 / 96 vCPU，属历史余量；二期引入 TH 备前须重核</t>
        </is>
      </c>
    </row>
    <row r="31" ht="14.25" customHeight="1" s="11">
      <c r="A31" s="42" t="inlineStr">
        <is>
          <t>上游出口与白名单</t>
        </is>
      </c>
      <c r="B31" s="44" t="inlineStr">
        <is>
          <t>马尼拉 NAT EIP ×4 + 新加坡 NAT EIP ×4；均提交上游做 IP 白名单（不启用 GA）</t>
        </is>
      </c>
    </row>
    <row r="32">
      <c r="A32" s="45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2" t="inlineStr">
        <is>
          <t>① 账号与域名申请</t>
        </is>
      </c>
      <c r="B35" s="16" t="inlineStr">
        <is>
          <t>19 项前置申请：国际站注册与企业实名、支付与配额（备 region 规划 ≥64 vCPU，**实批按量 96 vCPU**）、RAM/MFA/审计、11 类云产品开通（**KMS 凭据管家不采购**）、域名实名与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2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**RDS 内置托管 PgBouncer（F10 撤销自建）**、**ack-goatscaler（ACK 托管弹性组件）**、证书部署与 SNI 校验、staging/perf、支付回调白名单、连接数预算、出口带宽规格、Grafana、运维访问面、成本看板</t>
        </is>
      </c>
    </row>
    <row r="37" ht="28.5" customHeight="1" s="11">
      <c r="A37" s="42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**13 × 1.5 = 19.5 → 20 副本**）。本期仅承载 PH 备（泰国备为二期、不共用本集群），节点池反算下限 8 节点 / 64 vCPU，实况上限 12 节点 / 96 vCPU</t>
        </is>
      </c>
    </row>
    <row r="38" ht="28.5" customHeight="1" s="11">
      <c r="A38" s="42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CIDR）、**凭据与轮换周期（2026-10-05 裁定不使用 KMS：手工 Opaque Secret 注入；SESSION_SECRET 双密钥过渡）**</t>
        </is>
      </c>
    </row>
    <row r="39" ht="28.5" customHeight="1" s="11">
      <c r="A39" s="42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人时）。（⚠ 现行工期口径 = 1 人 × 4 天，见指南 §0.2–§0.4）</t>
        </is>
      </c>
    </row>
    <row r="40" ht="14.25" customHeight="1" s="11">
      <c r="A40" s="42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K1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9" t="inlineStr">
        <is>
          <t>阿里云国际站 · 账号、实名、配额与域名申请清单（★ = 阻塞 D1 启动的 T-5 / T-3 前置项）</t>
        </is>
      </c>
    </row>
    <row r="3" ht="14.25" customHeight="1" s="11">
      <c r="A3" s="35" t="inlineStr">
        <is>
          <t>序号</t>
        </is>
      </c>
      <c r="B3" s="35" t="inlineStr">
        <is>
          <t>类别</t>
        </is>
      </c>
      <c r="C3" s="35" t="inlineStr">
        <is>
          <t>事项</t>
        </is>
      </c>
      <c r="D3" s="35" t="inlineStr">
        <is>
          <t>入口 / 平台</t>
        </is>
      </c>
      <c r="E3" s="35" t="inlineStr">
        <is>
          <t>关键要求与参数</t>
        </is>
      </c>
      <c r="F3" s="35" t="inlineStr">
        <is>
          <t>前置依赖</t>
        </is>
      </c>
      <c r="G3" s="35" t="inlineStr">
        <is>
          <t>负责角色</t>
        </is>
      </c>
      <c r="H3" s="35" t="inlineStr">
        <is>
          <t>启动时点</t>
        </is>
      </c>
      <c r="I3" s="35" t="inlineStr">
        <is>
          <t>工期 / 等待时长</t>
        </is>
      </c>
      <c r="J3" s="35" t="inlineStr">
        <is>
          <t>是否门禁项</t>
        </is>
      </c>
      <c r="K3" s="35" t="inlineStr">
        <is>
          <t>备注</t>
        </is>
      </c>
    </row>
    <row r="4" ht="14.25" customHeight="1" s="11">
      <c r="A4" s="36" t="inlineStr">
        <is>
          <t>1</t>
        </is>
      </c>
      <c r="B4" s="36" t="inlineStr">
        <is>
          <t>账号注册</t>
        </is>
      </c>
      <c r="C4" s="36" t="inlineStr">
        <is>
          <t>注册阿里云国际站账号</t>
        </is>
      </c>
      <c r="D4" s="36" t="inlineStr">
        <is>
          <t>alibabacloud.com</t>
        </is>
      </c>
      <c r="E4" s="36" t="inlineStr">
        <is>
          <t>企业域名邮箱注册；注册国家/地区选 Philippines；绑定可接收国际短信的手机号</t>
        </is>
      </c>
      <c r="F4" s="36" t="inlineStr">
        <is>
          <t>—</t>
        </is>
      </c>
      <c r="G4" s="36" t="inlineStr">
        <is>
          <t>项目负责人</t>
        </is>
      </c>
      <c r="H4" s="36" t="inlineStr">
        <is>
          <t>T-5 前置</t>
        </is>
      </c>
      <c r="I4" s="36" t="inlineStr">
        <is>
          <t>0.5 工作日</t>
        </is>
      </c>
      <c r="J4" s="36" t="inlineStr">
        <is>
          <t>★ 门禁</t>
        </is>
      </c>
      <c r="K4" s="36" t="inlineStr">
        <is>
          <t>主账号仅用于计费与 RAM 管理，禁止日常运维使用</t>
        </is>
      </c>
    </row>
    <row r="5" ht="14.25" customHeight="1" s="11">
      <c r="A5" s="38" t="inlineStr">
        <is>
          <t>2</t>
        </is>
      </c>
      <c r="B5" s="38" t="inlineStr">
        <is>
          <t>账号注册</t>
        </is>
      </c>
      <c r="C5" s="38" t="inlineStr">
        <is>
          <t>完成企业实名认证</t>
        </is>
      </c>
      <c r="D5" s="38" t="inlineStr">
        <is>
          <t>阿里云国际站 · 实名认证</t>
        </is>
      </c>
      <c r="E5" s="38" t="inlineStr">
        <is>
          <t>提交菲律宾主体注册文件（DTI/SEC）、法人身份证件、公司地址证明；名称须与银行账户一致</t>
        </is>
      </c>
      <c r="F5" s="38" t="inlineStr">
        <is>
          <t>1</t>
        </is>
      </c>
      <c r="G5" s="38" t="inlineStr">
        <is>
          <t>项目负责人</t>
        </is>
      </c>
      <c r="H5" s="38" t="inlineStr">
        <is>
          <t>T-5 前置</t>
        </is>
      </c>
      <c r="I5" s="38" t="inlineStr">
        <is>
          <t>1–2 工作日（等待）</t>
        </is>
      </c>
      <c r="J5" s="38" t="inlineStr">
        <is>
          <t>★ 门禁</t>
        </is>
      </c>
      <c r="K5" s="40" t="inlineStr">
        <is>
          <t>未实名无法购买 ECS/RDS；5 天工期最大外部风险，须 T-5 立即提交并每日跟进</t>
        </is>
      </c>
    </row>
    <row r="6" ht="14.25" customHeight="1" s="11">
      <c r="A6" s="36" t="inlineStr">
        <is>
          <t>3</t>
        </is>
      </c>
      <c r="B6" s="36" t="inlineStr">
        <is>
          <t>账号注册</t>
        </is>
      </c>
      <c r="C6" s="36" t="inlineStr">
        <is>
          <t>开通后付费并绑定支付方式</t>
        </is>
      </c>
      <c r="D6" s="36" t="inlineStr">
        <is>
          <t>费用中心 · 支付方式</t>
        </is>
      </c>
      <c r="E6" s="36" t="inlineStr">
        <is>
          <t>绑定 Visa/MasterCard 企业卡或对公转账；开启自动扣款与余额告警</t>
        </is>
      </c>
      <c r="F6" s="36" t="inlineStr">
        <is>
          <t>—</t>
        </is>
      </c>
      <c r="G6" s="36" t="inlineStr">
        <is>
          <t>财务</t>
        </is>
      </c>
      <c r="H6" s="36" t="inlineStr">
        <is>
          <t>T-5 前置</t>
        </is>
      </c>
      <c r="I6" s="36" t="inlineStr">
        <is>
          <t>0.5 工作日</t>
        </is>
      </c>
      <c r="J6" s="36" t="inlineStr">
        <is>
          <t>★ 门禁</t>
        </is>
      </c>
      <c r="K6" s="36" t="inlineStr">
        <is>
          <t>预留不低于 3 个月账单的信用额度，避免欠费停机</t>
        </is>
      </c>
    </row>
    <row r="7" ht="14.25" customHeight="1" s="11">
      <c r="A7" s="38" t="inlineStr">
        <is>
          <t>4</t>
        </is>
      </c>
      <c r="B7" s="38" t="inlineStr">
        <is>
          <t>账号安全</t>
        </is>
      </c>
      <c r="C7" s="38" t="inlineStr">
        <is>
          <t>主账号安全加固</t>
        </is>
      </c>
      <c r="D7" s="38" t="inlineStr">
        <is>
          <t>账号中心 · 安全设置</t>
        </is>
      </c>
      <c r="E7" s="38" t="inlineStr">
        <is>
          <t>开启 MFA、登录保护与异地登录告警；绑定安全邮箱与紧急联系人</t>
        </is>
      </c>
      <c r="F7" s="38" t="inlineStr">
        <is>
          <t>1</t>
        </is>
      </c>
      <c r="G7" s="38" t="inlineStr">
        <is>
          <t>安全负责人</t>
        </is>
      </c>
      <c r="H7" s="38" t="inlineStr">
        <is>
          <t>T-5 前置</t>
        </is>
      </c>
      <c r="I7" s="38" t="inlineStr">
        <is>
          <t>0.5 工作日</t>
        </is>
      </c>
      <c r="J7" s="38" t="inlineStr">
        <is>
          <t>—</t>
        </is>
      </c>
      <c r="K7" s="38" t="inlineStr">
        <is>
          <t>OWASP：主账号不做日常操作</t>
        </is>
      </c>
    </row>
    <row r="8" ht="14.25" customHeight="1" s="11">
      <c r="A8" s="36" t="inlineStr">
        <is>
          <t>5</t>
        </is>
      </c>
      <c r="B8" s="36" t="inlineStr">
        <is>
          <t>账号安全</t>
        </is>
      </c>
      <c r="C8" s="36" t="inlineStr">
        <is>
          <t>创建 RAM 用户与最小权限策略</t>
        </is>
      </c>
      <c r="D8" s="36" t="inlineStr">
        <is>
          <t>RAM 控制台</t>
        </is>
      </c>
      <c r="E8" s="36" t="inlineStr">
        <is>
          <t>4 个角色：admin、ops、cicd-push（仅 ACR 推送）、iac-terraform（IaC 最小权限）</t>
        </is>
      </c>
      <c r="F8" s="36" t="inlineStr">
        <is>
          <t>4</t>
        </is>
      </c>
      <c r="G8" s="36" t="inlineStr">
        <is>
          <t>安全负责人</t>
        </is>
      </c>
      <c r="H8" s="36" t="inlineStr">
        <is>
          <t>T-5 前置</t>
        </is>
      </c>
      <c r="I8" s="36" t="inlineStr">
        <is>
          <t>0.5 工作日</t>
        </is>
      </c>
      <c r="J8" s="36" t="inlineStr">
        <is>
          <t>★ 门禁</t>
        </is>
      </c>
      <c r="K8" s="36" t="inlineStr">
        <is>
          <t>同时开启 ActionTrail，记录全部云 API 变更并保留 180 天</t>
        </is>
      </c>
    </row>
    <row r="9" ht="14.25" customHeight="1" s="11">
      <c r="A9" s="38" t="inlineStr">
        <is>
          <t>6</t>
        </is>
      </c>
      <c r="B9" s="38" t="inlineStr">
        <is>
          <t>账号安全</t>
        </is>
      </c>
      <c r="C9" s="38" t="inlineStr">
        <is>
          <t>配置资源组与成本标签</t>
        </is>
      </c>
      <c r="D9" s="38" t="inlineStr">
        <is>
          <t>资源管理 / 费用中心</t>
        </is>
      </c>
      <c r="E9" s="38" t="inlineStr">
        <is>
          <t>资源组按 site=ph-mnl、site=sg 划分；成本标签：项目、环境、站点、成本中心</t>
        </is>
      </c>
      <c r="F9" s="38" t="inlineStr">
        <is>
          <t>5</t>
        </is>
      </c>
      <c r="G9" s="38" t="inlineStr">
        <is>
          <t>运维负责人</t>
        </is>
      </c>
      <c r="H9" s="38" t="inlineStr">
        <is>
          <t>T-5 前置</t>
        </is>
      </c>
      <c r="I9" s="38" t="inlineStr">
        <is>
          <t>0.5 工作日</t>
        </is>
      </c>
      <c r="J9" s="38" t="inlineStr">
        <is>
          <t>—</t>
        </is>
      </c>
      <c r="K9" s="38" t="inlineStr">
        <is>
          <t>用于分账、预算告警与成本核算</t>
        </is>
      </c>
    </row>
    <row r="10" ht="28.5" customHeight="1" s="11">
      <c r="A10" s="36" t="inlineStr">
        <is>
          <t>7</t>
        </is>
      </c>
      <c r="B10" s="36" t="inlineStr">
        <is>
          <t>配额申请</t>
        </is>
      </c>
      <c r="C10" s="36" t="inlineStr">
        <is>
          <t>提交资源配额（Quota）申请</t>
        </is>
      </c>
      <c r="D10" s="36" t="inlineStr">
        <is>
          <t>配额中心 / 工单</t>
        </is>
      </c>
      <c r="E10" s="36" t="inlineStr">
        <is>
          <t>ECS vCPU ≥ 64（马尼拉，实批 64）+ ≥ 64（新加坡，实批按量 96；备 region 接管上限 = 主站 maxReplicas 13 × 1.5 = 19.5 → 20 副本 → 40 vCPU，容量下限 8 节点 / 64 vCPU）；ALB 2；EIP ≥ 10；RDS PostgreSQL 高可用版（pg.n4.2c.2m = 2C/8G，实况）；RDS 内置托管 PgBouncer（实例上已启用，无需单独配额）；Tair 4GB 主备；ClickHouse **企业版单 AZ** 2 节点；OSS 2；GTM 1</t>
        </is>
      </c>
      <c r="F10" s="36" t="inlineStr">
        <is>
          <t>1</t>
        </is>
      </c>
      <c r="G10" s="36" t="inlineStr">
        <is>
          <t>运维负责人</t>
        </is>
      </c>
      <c r="H10" s="36" t="inlineStr">
        <is>
          <t>T-5 前置</t>
        </is>
      </c>
      <c r="I10" s="36" t="inlineStr">
        <is>
          <t>2–3 工作日（等待，关键路径）</t>
        </is>
      </c>
      <c r="J10" s="36" t="inlineStr">
        <is>
          <t>★ 门禁</t>
        </is>
      </c>
      <c r="K10" s="36" t="inlineStr">
        <is>
          <t>国际站默认配额常不足；工单需说明业务场景与峰值，分两批（先马尼拉后新加坡）申请。新加坡 ≥64 vCPU 的依据是「单站点全量接管 = 被接管站点 maxReplicas 13 × 1.5 = 19.5 → 20 副本」：20 × Pod request 2 vCPU = 40 vCPU，÷ (7.9 × 0.8 = 6.32) ≈ 6.3 → 7 节点，留余量取 8 节点 = 64 vCPU。**实批为按量口径 96 vCPU（q_ecs_enterprise_postpay_c，2026-10-06 裁定后为核量口径），节点池上限 12 ⇒ 顶满即零余量**。【分期口径】本期新加坡仅承载 PH 备、不含泰国备，因此不按「PH 备 + TH 备 同时接管」的 96 vCPU（含 ≥20% 系统组件余量即 ≥16 节点 / 128 vCPU）申请；二期引入 TH 备时须重新提工单</t>
        </is>
      </c>
    </row>
    <row r="11" ht="14.25" customHeight="1" s="11">
      <c r="A11" s="38" t="inlineStr">
        <is>
          <t>8</t>
        </is>
      </c>
      <c r="B11" s="38" t="inlineStr">
        <is>
          <t>产品开通</t>
        </is>
      </c>
      <c r="C11" s="38" t="inlineStr">
        <is>
          <t>开通网络与计算类产品</t>
        </is>
      </c>
      <c r="D11" s="38" t="inlineStr">
        <is>
          <t>产品控制台</t>
        </is>
      </c>
      <c r="E11" s="38" t="inlineStr">
        <is>
          <t>VPC、EIP、NAT 网关、ALB、ACK Pro 托管版（含节点池自动伸缩）、ACR 企业版</t>
        </is>
      </c>
      <c r="F11" s="38" t="inlineStr">
        <is>
          <t>1</t>
        </is>
      </c>
      <c r="G11" s="38" t="inlineStr">
        <is>
          <t>运维负责人</t>
        </is>
      </c>
      <c r="H11" s="38" t="inlineStr">
        <is>
          <t>T-5 前置</t>
        </is>
      </c>
      <c r="I11" s="38" t="inlineStr">
        <is>
          <t>0.5 工作日</t>
        </is>
      </c>
      <c r="J11" s="38" t="inlineStr">
        <is>
          <t>★ 门禁</t>
        </is>
      </c>
      <c r="K11" s="38" t="inlineStr">
        <is>
          <t>国际站需逐个产品单独开通</t>
        </is>
      </c>
    </row>
    <row r="12" ht="14.25" customHeight="1" s="11">
      <c r="A12" s="36" t="inlineStr">
        <is>
          <t>9</t>
        </is>
      </c>
      <c r="B12" s="36" t="inlineStr">
        <is>
          <t>产品开通</t>
        </is>
      </c>
      <c r="C12" s="36" t="inlineStr">
        <is>
          <t>开通数据与缓存类产品</t>
        </is>
      </c>
      <c r="D12" s="36" t="inlineStr">
        <is>
          <t>产品控制台</t>
        </is>
      </c>
      <c r="E12" s="36" t="inlineStr">
        <is>
          <t>RDS PostgreSQL 17（HighAvailability，pg.n4.2c.2m = 2C/8G，max_connections=800 用户不可改）、**RDS 内置托管 PgBouncer（PGBouncerEnabled=true，自建方案 F10 已撤销）**、Tair（Redis 兼容）、云数据库 ClickHouse **企业版（单可用区，马尼拉仅 ap-southeast-6a）**</t>
        </is>
      </c>
      <c r="F12" s="36" t="inlineStr">
        <is>
          <t>1</t>
        </is>
      </c>
      <c r="G12" s="36" t="inlineStr">
        <is>
          <t>运维负责人</t>
        </is>
      </c>
      <c r="H12" s="36" t="inlineStr">
        <is>
          <t>T-5 前置</t>
        </is>
      </c>
      <c r="I12" s="36" t="inlineStr">
        <is>
          <t>0.5 工作日</t>
        </is>
      </c>
      <c r="J12" s="36" t="inlineStr">
        <is>
          <t>★ 门禁</t>
        </is>
      </c>
      <c r="K12" s="36" t="inlineStr">
        <is>
          <t>ClickHouse 仅承载 LOG_SQL_DSN；企业版**只有按量付费**（Serverless 商品类型，不支持包年包月），等价降本手段 = 计算资源包（马尼拉抵扣因子 1.45）；马尼拉 CK 可用区只有 6a、存储只有 OSS</t>
        </is>
      </c>
    </row>
    <row r="13" ht="14.25" customHeight="1" s="11">
      <c r="A13" s="38" t="inlineStr">
        <is>
          <t>10</t>
        </is>
      </c>
      <c r="B13" s="38" t="inlineStr">
        <is>
          <t>产品开通</t>
        </is>
      </c>
      <c r="C13" s="38" t="inlineStr">
        <is>
          <t>开通接入与安全类产品</t>
        </is>
      </c>
      <c r="D13" s="38" t="inlineStr">
        <is>
          <t>产品控制台</t>
        </is>
      </c>
      <c r="E13" s="38" t="inlineStr">
        <is>
          <t>云解析 DNS（旗舰版）、GTM（旗舰版）、DCDN、WAF 3.0（企业版）、SSL 证书、堡垒机 / VPN（**KMS 凭据管家：2026-10-05 裁定不采购**）</t>
        </is>
      </c>
      <c r="F13" s="38" t="inlineStr">
        <is>
          <t>1</t>
        </is>
      </c>
      <c r="G13" s="38" t="inlineStr">
        <is>
          <t>运维负责人</t>
        </is>
      </c>
      <c r="H13" s="38" t="inlineStr">
        <is>
          <t>T-5 前置</t>
        </is>
      </c>
      <c r="I13" s="38" t="inlineStr">
        <is>
          <t>0.5 工作日</t>
        </is>
      </c>
      <c r="J13" s="38" t="inlineStr">
        <is>
          <t>★ 门禁</t>
        </is>
      </c>
      <c r="K13" s="38" t="inlineStr">
        <is>
          <t>WAF 需企业版；证书需在 D1 前完成签发</t>
        </is>
      </c>
    </row>
    <row r="14" ht="14.25" customHeight="1" s="11">
      <c r="A14" s="36" t="inlineStr">
        <is>
          <t>11</t>
        </is>
      </c>
      <c r="B14" s="36" t="inlineStr">
        <is>
          <t>产品开通</t>
        </is>
      </c>
      <c r="C14" s="36" t="inlineStr">
        <is>
          <t>开通可观测与审计类产品</t>
        </is>
      </c>
      <c r="D14" s="36" t="inlineStr">
        <is>
          <t>产品控制台</t>
        </is>
      </c>
      <c r="E14" s="36" t="inlineStr">
        <is>
          <t>SLS、ARMS（Prometheus 版 + 应用监控）、Grafana 服务 / 工作区、云监控站点监控、ActionTrail</t>
        </is>
      </c>
      <c r="F14" s="36" t="inlineStr">
        <is>
          <t>1</t>
        </is>
      </c>
      <c r="G14" s="36" t="inlineStr">
        <is>
          <t>运维负责人</t>
        </is>
      </c>
      <c r="H14" s="36" t="inlineStr">
        <is>
          <t>T-5 前置</t>
        </is>
      </c>
      <c r="I14" s="36" t="inlineStr">
        <is>
          <t>0.5 工作日</t>
        </is>
      </c>
      <c r="J14" s="36" t="inlineStr">
        <is>
          <t>—</t>
        </is>
      </c>
      <c r="K14" s="36" t="inlineStr">
        <is>
          <t>拨测点选马尼拉、曼谷、新加坡、东京、香港</t>
        </is>
      </c>
    </row>
    <row r="15" ht="14.25" customHeight="1" s="11">
      <c r="A15" s="38" t="inlineStr">
        <is>
          <t>12</t>
        </is>
      </c>
      <c r="B15" s="38" t="inlineStr">
        <is>
          <t>产品开通</t>
        </is>
      </c>
      <c r="C15" s="38" t="inlineStr">
        <is>
          <t>开通对象存储与镜像仓库</t>
        </is>
      </c>
      <c r="D15" s="38" t="inlineStr">
        <is>
          <t>产品控制台</t>
        </is>
      </c>
      <c r="E15" s="38" t="inlineStr">
        <is>
          <t>OSS（同城冗余 ZRS）、ACR 企业版（马尼拉 + 新加坡两个地域实例）</t>
        </is>
      </c>
      <c r="F15" s="38" t="inlineStr">
        <is>
          <t>1</t>
        </is>
      </c>
      <c r="G15" s="38" t="inlineStr">
        <is>
          <t>运维负责人</t>
        </is>
      </c>
      <c r="H15" s="38" t="inlineStr">
        <is>
          <t>T-5 前置</t>
        </is>
      </c>
      <c r="I15" s="38" t="inlineStr">
        <is>
          <t>0.5 工作日</t>
        </is>
      </c>
      <c r="J15" s="38" t="inlineStr">
        <is>
          <t>—</t>
        </is>
      </c>
      <c r="K15" s="38" t="inlineStr">
        <is>
          <t>两站点须能从各自 VPC 域名拉取镜像</t>
        </is>
      </c>
    </row>
    <row r="16" ht="14.25" customHeight="1" s="11">
      <c r="A16" s="36" t="inlineStr">
        <is>
          <t>13</t>
        </is>
      </c>
      <c r="B16" s="36" t="inlineStr">
        <is>
          <t>域名</t>
        </is>
      </c>
      <c r="C16" s="36" t="inlineStr">
        <is>
          <t>域名选型与注册</t>
        </is>
      </c>
      <c r="D16" s="36" t="inlineStr">
        <is>
          <t>阿里云国际站 · 域名</t>
        </is>
      </c>
      <c r="E16" s="36" t="inlineStr">
        <is>
          <t>注册/确认业务域名与运维域名（统一为 www.likha.hk / ops.likha.hk）；开启隐私保护与自动续费</t>
        </is>
      </c>
      <c r="F16" s="36" t="inlineStr">
        <is>
          <t>—</t>
        </is>
      </c>
      <c r="G16" s="36" t="inlineStr">
        <is>
          <t>项目负责人</t>
        </is>
      </c>
      <c r="H16" s="36" t="inlineStr">
        <is>
          <t>T-5 前置</t>
        </is>
      </c>
      <c r="I16" s="36" t="inlineStr">
        <is>
          <t>0.5 工作日</t>
        </is>
      </c>
      <c r="J16" s="36" t="inlineStr">
        <is>
          <t>★ 门禁</t>
        </is>
      </c>
      <c r="K16" s="36" t="inlineStr">
        <is>
          <t>若使用既有域名可跳过注册，仅需完成实名与 NS 托管</t>
        </is>
      </c>
    </row>
    <row r="17" ht="14.25" customHeight="1" s="11">
      <c r="A17" s="38" t="inlineStr">
        <is>
          <t>14</t>
        </is>
      </c>
      <c r="B17" s="38" t="inlineStr">
        <is>
          <t>域名</t>
        </is>
      </c>
      <c r="C17" s="38" t="inlineStr">
        <is>
          <t>域名实名认证</t>
        </is>
      </c>
      <c r="D17" s="38" t="inlineStr">
        <is>
          <t>域名控制台</t>
        </is>
      </c>
      <c r="E17" s="38" t="inlineStr">
        <is>
          <t>按注册局要求提交主体信息；未实名域名会被停止解析</t>
        </is>
      </c>
      <c r="F17" s="38" t="inlineStr">
        <is>
          <t>13</t>
        </is>
      </c>
      <c r="G17" s="38" t="inlineStr">
        <is>
          <t>项目负责人</t>
        </is>
      </c>
      <c r="H17" s="38" t="inlineStr">
        <is>
          <t>T-5 前置</t>
        </is>
      </c>
      <c r="I17" s="38" t="inlineStr">
        <is>
          <t>1–2 工作日（等待）</t>
        </is>
      </c>
      <c r="J17" s="38" t="inlineStr">
        <is>
          <t>★ 门禁</t>
        </is>
      </c>
      <c r="K17" s="38" t="inlineStr">
        <is>
          <t>主体须与阿里云账号实名主体一致</t>
        </is>
      </c>
    </row>
    <row r="18" ht="14.25" customHeight="1" s="11">
      <c r="A18" s="36" t="inlineStr">
        <is>
          <t>15</t>
        </is>
      </c>
      <c r="B18" s="36" t="inlineStr">
        <is>
          <t>域名</t>
        </is>
      </c>
      <c r="C18" s="36" t="inlineStr">
        <is>
          <t>修改 NS 为阿里云云解析并验证生效</t>
        </is>
      </c>
      <c r="D18" s="36" t="inlineStr">
        <is>
          <t>域名注册商 / 云解析 DNS</t>
        </is>
      </c>
      <c r="E18" s="36" t="inlineStr">
        <is>
          <t>将 NS 指向阿里云国际站 DNS 服务器，并用 dig 验证权威解析生效</t>
        </is>
      </c>
      <c r="F18" s="36" t="inlineStr">
        <is>
          <t>13,14</t>
        </is>
      </c>
      <c r="G18" s="36" t="inlineStr">
        <is>
          <t>运维负责人</t>
        </is>
      </c>
      <c r="H18" s="36" t="inlineStr">
        <is>
          <t>T-5 前置</t>
        </is>
      </c>
      <c r="I18" s="36" t="inlineStr">
        <is>
          <t>生效 24–48h（等待）</t>
        </is>
      </c>
      <c r="J18" s="36" t="inlineStr">
        <is>
          <t>★ 门禁</t>
        </is>
      </c>
      <c r="K18" s="36" t="inlineStr">
        <is>
          <t>5 天工期下必须在 T-5 发起，否则 D1 接入层无法验证</t>
        </is>
      </c>
    </row>
    <row r="19" ht="28.5" customHeight="1" s="11">
      <c r="A19" s="38" t="inlineStr">
        <is>
          <t>16</t>
        </is>
      </c>
      <c r="B19" s="38" t="inlineStr">
        <is>
          <t>域名</t>
        </is>
      </c>
      <c r="C19" s="38" t="inlineStr">
        <is>
          <t>创建解析记录并接入 GTM</t>
        </is>
      </c>
      <c r="D19" s="38" t="inlineStr">
        <is>
          <t>GTM 控制台</t>
        </is>
      </c>
      <c r="E19" s="38" t="inlineStr">
        <is>
          <t>主地址池 = 马尼拉 ALB；备地址池 = 新加坡 ALB；HTTP 探测 /api/status，间隔 15s，切换 ≤ 60s（G8 落地后随健康检查一并以 /readyz 取代；15 s 间隔本身不撞额度，但与 ALB 探测共用同一客户端 IP 键时须合并计预算）</t>
        </is>
      </c>
      <c r="F19" s="38" t="inlineStr">
        <is>
          <t>15</t>
        </is>
      </c>
      <c r="G19" s="38" t="inlineStr">
        <is>
          <t>运维负责人</t>
        </is>
      </c>
      <c r="H19" s="38" t="inlineStr">
        <is>
          <t>D3 晚间</t>
        </is>
      </c>
      <c r="I19" s="38" t="inlineStr">
        <is>
          <t>见落地计划 #21（D3 晚间段 S9）</t>
        </is>
      </c>
      <c r="J19" s="38" t="inlineStr">
        <is>
          <t>—</t>
        </is>
      </c>
      <c r="K19" s="38" t="inlineStr">
        <is>
          <t>备 region 未验证通过前不得加入备地址池</t>
        </is>
      </c>
    </row>
    <row r="20" ht="14.25" customHeight="1" s="11">
      <c r="A20" s="36" t="inlineStr">
        <is>
          <t>17</t>
        </is>
      </c>
      <c r="B20" s="36" t="inlineStr">
        <is>
          <t>证书</t>
        </is>
      </c>
      <c r="C20" s="36" t="inlineStr">
        <is>
          <t>申请 SSL/TLS 通配符证书</t>
        </is>
      </c>
      <c r="D20" s="36" t="inlineStr">
        <is>
          <t>数字证书管理服务</t>
        </is>
      </c>
      <c r="E20" s="36" t="inlineStr">
        <is>
          <t>申请 *.likha.hk（与「说明与总览」业务域名一致；原示例 *.example-ph.com 不覆盖 www.likha.hk，已统一）；要求 TLS 1.2 + 1.3</t>
        </is>
      </c>
      <c r="F20" s="36" t="inlineStr">
        <is>
          <t>15</t>
        </is>
      </c>
      <c r="G20" s="36" t="inlineStr">
        <is>
          <t>运维负责人</t>
        </is>
      </c>
      <c r="H20" s="36" t="inlineStr">
        <is>
          <t>T-5 前置</t>
        </is>
      </c>
      <c r="I20" s="36" t="inlineStr">
        <is>
          <t>签发 1–24h（等待）</t>
        </is>
      </c>
      <c r="J20" s="36" t="inlineStr">
        <is>
          <t>★ 门禁</t>
        </is>
      </c>
      <c r="K20" s="36" t="inlineStr">
        <is>
          <t>私钥**不落 KMS**（2026-10-05 裁定不使用 KMS/凭据管家）：证书私钥由运维手工保管；开启自动续期与 30 天到期告警</t>
        </is>
      </c>
    </row>
    <row r="21" ht="14.25" customHeight="1" s="11">
      <c r="A21" s="38" t="inlineStr">
        <is>
          <t>18</t>
        </is>
      </c>
      <c r="B21" s="38" t="inlineStr">
        <is>
          <t>证书</t>
        </is>
      </c>
      <c r="C21" s="38" t="inlineStr">
        <is>
          <t>证书部署到 ALB / WAF / DCDN</t>
        </is>
      </c>
      <c r="D21" s="38" t="inlineStr">
        <is>
          <t>控制台</t>
        </is>
      </c>
      <c r="E21" s="38" t="inlineStr">
        <is>
          <t>分别部署至马尼拉 ALB、新加坡 ALB、WAF、DCDN 域名</t>
        </is>
      </c>
      <c r="F21" s="38" t="inlineStr">
        <is>
          <t>17</t>
        </is>
      </c>
      <c r="G21" s="38" t="inlineStr">
        <is>
          <t>运维负责人</t>
        </is>
      </c>
      <c r="H21" s="38" t="inlineStr">
        <is>
          <t>D5 下午（S14，ALB / WAF 已创建）</t>
        </is>
      </c>
      <c r="I21" s="38" t="inlineStr">
        <is>
          <t>见落地计划 #40</t>
        </is>
      </c>
      <c r="J21" s="38" t="inlineStr">
        <is>
          <t>—</t>
        </is>
      </c>
      <c r="K21" s="38" t="inlineStr">
        <is>
          <t>到期前 30 天自动续期并回归验证</t>
        </is>
      </c>
    </row>
    <row r="22" ht="14.25" customHeight="1" s="11">
      <c r="A22" s="36" t="inlineStr">
        <is>
          <t>19</t>
        </is>
      </c>
      <c r="B22" s="36" t="inlineStr">
        <is>
          <t>通知</t>
        </is>
      </c>
      <c r="C22" s="36" t="inlineStr">
        <is>
          <t>配置告警通道与联系人</t>
        </is>
      </c>
      <c r="D22" s="36" t="inlineStr">
        <is>
          <t>云监控 / ARMS</t>
        </is>
      </c>
      <c r="E22" s="36" t="inlineStr">
        <is>
          <t>钉钉或企业微信机器人 + 短信 + 电话；P1 走电话并建立值班表</t>
        </is>
      </c>
      <c r="F22" s="36" t="inlineStr">
        <is>
          <t>11</t>
        </is>
      </c>
      <c r="G22" s="36" t="inlineStr">
        <is>
          <t>运维负责人</t>
        </is>
      </c>
      <c r="H22" s="36" t="inlineStr">
        <is>
          <t>D5 下午（S14）</t>
        </is>
      </c>
      <c r="I22" s="36" t="inlineStr">
        <is>
          <t>见落地计划 #32</t>
        </is>
      </c>
      <c r="J22" s="36" t="inlineStr">
        <is>
          <t>—</t>
        </is>
      </c>
      <c r="K22" s="36" t="inlineStr">
        <is>
          <t>告警联系人须包含 2 名执行人与项目负责人</t>
        </is>
      </c>
    </row>
    <row r="24" ht="48" customHeight="1" s="11">
      <c r="C24" s="25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3" activePane="bottomRight" state="frozen"/>
      <selection activeCell="A1" sqref="A1"/>
      <selection pane="topRight" activeCell="A1" sqref="A1"/>
      <selection pane="bottomLeft" activeCell="A1" sqref="A1"/>
      <selection pane="bottomRight" activeCell="A1" sqref="A1:M1"/>
    </sheetView>
  </sheetViews>
  <sheetFormatPr baseColWidth="8" defaultColWidth="9" defaultRowHeight="13.5"/>
  <cols>
    <col width="3.625" customWidth="1" style="33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4" t="inlineStr">
        <is>
          <t>菲律宾主站点资源清单 · ap-southeast-6（马尼拉）</t>
        </is>
      </c>
    </row>
    <row r="3" ht="14.25" customHeight="1" s="11">
      <c r="A3" s="30" t="inlineStr">
        <is>
          <t>序号</t>
        </is>
      </c>
      <c r="B3" s="35" t="inlineStr">
        <is>
          <t>层</t>
        </is>
      </c>
      <c r="C3" s="35" t="inlineStr">
        <is>
          <t>资源 / 产品</t>
        </is>
      </c>
      <c r="D3" s="35" t="inlineStr">
        <is>
          <t>规格与版本</t>
        </is>
      </c>
      <c r="E3" s="35" t="inlineStr">
        <is>
          <t>数量</t>
        </is>
      </c>
      <c r="F3" s="35" t="inlineStr">
        <is>
          <t>命名规范</t>
        </is>
      </c>
      <c r="G3" s="35" t="inlineStr">
        <is>
          <t>地域 / 可用区</t>
        </is>
      </c>
      <c r="H3" s="35" t="inlineStr">
        <is>
          <t>关键配置</t>
        </is>
      </c>
      <c r="I3" s="35" t="inlineStr">
        <is>
          <t>前置依赖</t>
        </is>
      </c>
      <c r="J3" s="35" t="inlineStr">
        <is>
          <t>申请方式</t>
        </is>
      </c>
      <c r="K3" s="35" t="inlineStr">
        <is>
          <t>落地日</t>
        </is>
      </c>
      <c r="L3" s="35" t="inlineStr">
        <is>
          <t>负责</t>
        </is>
      </c>
      <c r="M3" s="35" t="inlineStr">
        <is>
          <t>备注</t>
        </is>
      </c>
    </row>
    <row r="4" ht="14.25" customHeight="1" s="11">
      <c r="A4" s="16" t="inlineStr">
        <is>
          <t>1</t>
        </is>
      </c>
      <c r="B4" s="36" t="inlineStr">
        <is>
          <t>网络</t>
        </is>
      </c>
      <c r="C4" s="36" t="inlineStr">
        <is>
          <t>VPC</t>
        </is>
      </c>
      <c r="D4" s="36" t="inlineStr">
        <is>
          <t>10.0.0.0/16</t>
        </is>
      </c>
      <c r="E4" s="36" t="n">
        <v>1</v>
      </c>
      <c r="F4" s="36" t="inlineStr">
        <is>
          <t>vpc-newapi-mnl-prod</t>
        </is>
      </c>
      <c r="G4" s="36" t="inlineStr">
        <is>
          <t>ap-southeast-6</t>
        </is>
      </c>
      <c r="H4" s="36" t="inlineStr">
        <is>
          <t>单 VPC；开启 DNS 主机名解析；VPC 流日志投递 SLS</t>
        </is>
      </c>
      <c r="I4" s="36" t="inlineStr">
        <is>
          <t>—</t>
        </is>
      </c>
      <c r="J4" s="36" t="inlineStr">
        <is>
          <t>控制台/IaC</t>
        </is>
      </c>
      <c r="K4" s="36" t="inlineStr">
        <is>
          <t>D1</t>
        </is>
      </c>
      <c r="L4" s="36" t="inlineStr">
        <is>
          <t>人员A</t>
        </is>
      </c>
      <c r="M4" s="36" t="inlineStr">
        <is>
          <t>与新加坡网段不重叠</t>
        </is>
      </c>
    </row>
    <row r="5" ht="14.25" customHeight="1" s="11">
      <c r="A5" s="37" t="inlineStr">
        <is>
          <t>2</t>
        </is>
      </c>
      <c r="B5" s="38" t="inlineStr">
        <is>
          <t>网络</t>
        </is>
      </c>
      <c r="C5" s="38" t="inlineStr">
        <is>
          <t>vSwitch（公共）</t>
        </is>
      </c>
      <c r="D5" s="38" t="inlineStr">
        <is>
          <t>2 × /24</t>
        </is>
      </c>
      <c r="E5" s="38" t="n">
        <v>2</v>
      </c>
      <c r="F5" s="38" t="inlineStr">
        <is>
          <t>vsw-mnl-pub-a / vsw-mnl-pub-b</t>
        </is>
      </c>
      <c r="G5" s="38" t="inlineStr">
        <is>
          <t>可用区 A / B</t>
        </is>
      </c>
      <c r="H5" s="38" t="inlineStr">
        <is>
          <t>ALB 与 NAT 网关使用</t>
        </is>
      </c>
      <c r="I5" s="38" t="inlineStr">
        <is>
          <t>1</t>
        </is>
      </c>
      <c r="J5" s="38" t="inlineStr">
        <is>
          <t>控制台/IaC</t>
        </is>
      </c>
      <c r="K5" s="38" t="inlineStr">
        <is>
          <t>D1</t>
        </is>
      </c>
      <c r="L5" s="38" t="inlineStr">
        <is>
          <t>人员A</t>
        </is>
      </c>
      <c r="M5" s="38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6" t="inlineStr">
        <is>
          <t>网络</t>
        </is>
      </c>
      <c r="C6" s="36" t="inlineStr">
        <is>
          <t>vSwitch（私有）</t>
        </is>
      </c>
      <c r="D6" s="36" t="inlineStr">
        <is>
          <t>4 × /20</t>
        </is>
      </c>
      <c r="E6" s="36" t="n">
        <v>4</v>
      </c>
      <c r="F6" s="36" t="inlineStr">
        <is>
          <t>vsw-mnl-app-a/b、vsw-mnl-data-a/b</t>
        </is>
      </c>
      <c r="G6" s="36" t="inlineStr">
        <is>
          <t>跨 2 个可用区</t>
        </is>
      </c>
      <c r="H6" s="36" t="inlineStr">
        <is>
          <t>Pod 使用 app 网段，RDS 使用 data 网段</t>
        </is>
      </c>
      <c r="I6" s="36" t="inlineStr">
        <is>
          <t>1</t>
        </is>
      </c>
      <c r="J6" s="36" t="inlineStr">
        <is>
          <t>控制台/IaC</t>
        </is>
      </c>
      <c r="K6" s="36" t="inlineStr">
        <is>
          <t>D1</t>
        </is>
      </c>
      <c r="L6" s="36" t="inlineStr">
        <is>
          <t>人员A</t>
        </is>
      </c>
      <c r="M6" s="36" t="inlineStr">
        <is>
          <t>Pod 与数据库分网段便于隔离</t>
        </is>
      </c>
    </row>
    <row r="7" ht="14.25" customHeight="1" s="11">
      <c r="A7" s="37" t="inlineStr">
        <is>
          <t>4</t>
        </is>
      </c>
      <c r="B7" s="38" t="inlineStr">
        <is>
          <t>网络</t>
        </is>
      </c>
      <c r="C7" s="38" t="inlineStr">
        <is>
          <t>NAT 网关</t>
        </is>
      </c>
      <c r="D7" s="38" t="inlineStr">
        <is>
          <t>多可用区</t>
        </is>
      </c>
      <c r="E7" s="38" t="n">
        <v>1</v>
      </c>
      <c r="F7" s="38" t="inlineStr">
        <is>
          <t>nat-mnl-prod</t>
        </is>
      </c>
      <c r="G7" s="38" t="inlineStr">
        <is>
          <t>跨 2 个可用区</t>
        </is>
      </c>
      <c r="H7" s="38" t="inlineStr">
        <is>
          <t>绑定固定 EIP 池；仅私有子网可出网</t>
        </is>
      </c>
      <c r="I7" s="38" t="inlineStr">
        <is>
          <t>1</t>
        </is>
      </c>
      <c r="J7" s="38" t="inlineStr">
        <is>
          <t>控制台/IaC</t>
        </is>
      </c>
      <c r="K7" s="38" t="inlineStr">
        <is>
          <t>D1</t>
        </is>
      </c>
      <c r="L7" s="38" t="inlineStr">
        <is>
          <t>人员A</t>
        </is>
      </c>
      <c r="M7" s="38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6" t="inlineStr">
        <is>
          <t>网络</t>
        </is>
      </c>
      <c r="C8" s="36" t="inlineStr">
        <is>
          <t>EIP（上游出口白名单池）</t>
        </is>
      </c>
      <c r="D8" s="36" t="inlineStr">
        <is>
          <t>≥ 4 个</t>
        </is>
      </c>
      <c r="E8" s="36" t="n">
        <v>4</v>
      </c>
      <c r="F8" s="36" t="inlineStr">
        <is>
          <t>eip-mnl-upstream-01..04</t>
        </is>
      </c>
      <c r="G8" s="36" t="inlineStr">
        <is>
          <t>多可用区</t>
        </is>
      </c>
      <c r="H8" s="36" t="inlineStr">
        <is>
          <t>绑定 NAT 网关；用于供应商白名单（本次出口直出、不启用 GA）</t>
        </is>
      </c>
      <c r="I8" s="36" t="inlineStr">
        <is>
          <t>4</t>
        </is>
      </c>
      <c r="J8" s="36" t="inlineStr">
        <is>
          <t>控制台/IaC</t>
        </is>
      </c>
      <c r="K8" s="36" t="inlineStr">
        <is>
          <t>D1</t>
        </is>
      </c>
      <c r="L8" s="36" t="inlineStr">
        <is>
          <t>人员A</t>
        </is>
      </c>
      <c r="M8" s="36" t="inlineStr">
        <is>
          <t>同一池也是备 region 访问 RDS 的白名单来源；8 个 EIP 均须提交上游并确认生效</t>
        </is>
      </c>
    </row>
    <row r="9" ht="28.5" customHeight="1" s="11">
      <c r="A9" s="37" t="inlineStr">
        <is>
          <t>6</t>
        </is>
      </c>
      <c r="B9" s="38" t="inlineStr">
        <is>
          <t>接入</t>
        </is>
      </c>
      <c r="C9" s="38" t="inlineStr">
        <is>
          <t>ALB</t>
        </is>
      </c>
      <c r="D9" s="38" t="inlineStr">
        <is>
          <t>标准版 II</t>
        </is>
      </c>
      <c r="E9" s="38" t="n">
        <v>1</v>
      </c>
      <c r="F9" s="38" t="inlineStr">
        <is>
          <t>alb-newapi-mnl</t>
        </is>
      </c>
      <c r="G9" s="38" t="inlineStr">
        <is>
          <t>跨 2 个可用区</t>
        </is>
      </c>
      <c r="H9" s="38" t="inlineStr">
        <is>
          <t>实况：**只有 HTTP:80 一个监听**（443 / 301 待 G5 证书签发）；idleTimeout=60s；requestTimeout=180s；TLS 1.2+1.3；健康检查 GET /api/status @20s（原 6s，2026-10-06 改）**与全局限流 360/180s per client IP 冲突 ⇒ 必须改 /readyz 并免限流（G8）**</t>
        </is>
      </c>
      <c r="I9" s="38" t="inlineStr">
        <is>
          <t>2,17(前置)</t>
        </is>
      </c>
      <c r="J9" s="38" t="inlineStr">
        <is>
          <t>控制台/IaC</t>
        </is>
      </c>
      <c r="K9" s="38" t="inlineStr">
        <is>
          <t>D2</t>
        </is>
      </c>
      <c r="L9" s="38" t="inlineStr">
        <is>
          <t>人员A</t>
        </is>
      </c>
      <c r="M9" s="38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6" t="inlineStr">
        <is>
          <t>接入</t>
        </is>
      </c>
      <c r="C10" s="36" t="inlineStr">
        <is>
          <t>WAF 3.0</t>
        </is>
      </c>
      <c r="D10" s="36" t="inlineStr">
        <is>
          <t>企业版</t>
        </is>
      </c>
      <c r="E10" s="36" t="n">
        <v>1</v>
      </c>
      <c r="F10" s="36" t="inlineStr">
        <is>
          <t>waf-newapi-mnl</t>
        </is>
      </c>
      <c r="G10" s="36" t="inlineStr">
        <is>
          <t>马尼拉</t>
        </is>
      </c>
      <c r="H10" s="36" t="inlineStr">
        <is>
          <t>接入 www.likha.hk；CC 阈值对齐 GLOBAL_API_RATE_LIMIT；放行支付回调路径并限定回调源 IP 段</t>
        </is>
      </c>
      <c r="I10" s="36" t="inlineStr">
        <is>
          <t>6</t>
        </is>
      </c>
      <c r="J10" s="36" t="inlineStr">
        <is>
          <t>控制台</t>
        </is>
      </c>
      <c r="K10" s="36" t="inlineStr">
        <is>
          <t>D4</t>
        </is>
      </c>
      <c r="L10" s="36" t="inlineStr">
        <is>
          <t>人员A</t>
        </is>
      </c>
      <c r="M10" s="36" t="inlineStr">
        <is>
          <t>抗 L7</t>
        </is>
      </c>
    </row>
    <row r="11" ht="14.25" customHeight="1" s="11">
      <c r="A11" s="37" t="inlineStr">
        <is>
          <t>8</t>
        </is>
      </c>
      <c r="B11" s="38" t="inlineStr">
        <is>
          <t>接入</t>
        </is>
      </c>
      <c r="C11" s="38" t="inlineStr">
        <is>
          <t>云解析 DNS</t>
        </is>
      </c>
      <c r="D11" s="38" t="inlineStr">
        <is>
          <t>旗舰版</t>
        </is>
      </c>
      <c r="E11" s="38" t="n">
        <v>1</v>
      </c>
      <c r="F11" s="38" t="inlineStr">
        <is>
          <t>—</t>
        </is>
      </c>
      <c r="G11" s="38" t="inlineStr">
        <is>
          <t>全球</t>
        </is>
      </c>
      <c r="H11" s="38" t="inlineStr">
        <is>
          <t>承载主域名与子域名解析</t>
        </is>
      </c>
      <c r="I11" s="38" t="inlineStr">
        <is>
          <t>15(前置)</t>
        </is>
      </c>
      <c r="J11" s="38" t="inlineStr">
        <is>
          <t>控制台</t>
        </is>
      </c>
      <c r="K11" s="38" t="inlineStr">
        <is>
          <t>D1</t>
        </is>
      </c>
      <c r="L11" s="38" t="inlineStr">
        <is>
          <t>人员A</t>
        </is>
      </c>
      <c r="M11" s="38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6" t="inlineStr">
        <is>
          <t>接入</t>
        </is>
      </c>
      <c r="C12" s="36" t="inlineStr">
        <is>
          <t>全局流量管理 GTM</t>
        </is>
      </c>
      <c r="D12" s="36" t="inlineStr">
        <is>
          <t>旗舰版</t>
        </is>
      </c>
      <c r="E12" s="36" t="n">
        <v>1</v>
      </c>
      <c r="F12" s="36" t="inlineStr">
        <is>
          <t>gtm-newapi-ph</t>
        </is>
      </c>
      <c r="G12" s="36" t="inlineStr">
        <is>
          <t>全球</t>
        </is>
      </c>
      <c r="H12" s="36" t="inlineStr">
        <is>
          <t>探测 GET /api/status 每 15s；故障切换目标 ≤ 60s（G8 落地后随健康检查一并改 /readyz；15 s 间隔本身不撞额度，但与 ALB 探测共用同一客户端 IP 键时须合并计预算）</t>
        </is>
      </c>
      <c r="I12" s="36" t="inlineStr">
        <is>
          <t>6,17(前置)</t>
        </is>
      </c>
      <c r="J12" s="36" t="inlineStr">
        <is>
          <t>控制台</t>
        </is>
      </c>
      <c r="K12" s="36" t="inlineStr">
        <is>
          <t>D3</t>
        </is>
      </c>
      <c r="L12" s="36" t="inlineStr">
        <is>
          <t>人员A</t>
        </is>
      </c>
      <c r="M12" s="36" t="inlineStr">
        <is>
          <t>故障切换目标 ≤ 60s</t>
        </is>
      </c>
    </row>
    <row r="13" ht="14.25" customHeight="1" s="11">
      <c r="A13" s="37" t="inlineStr">
        <is>
          <t>10</t>
        </is>
      </c>
      <c r="B13" s="38" t="inlineStr">
        <is>
          <t>接入</t>
        </is>
      </c>
      <c r="C13" s="38" t="inlineStr">
        <is>
          <t>DCDN</t>
        </is>
      </c>
      <c r="D13" s="38" t="inlineStr">
        <is>
          <t>按量付费</t>
        </is>
      </c>
      <c r="E13" s="38" t="n">
        <v>1</v>
      </c>
      <c r="F13" s="38" t="inlineStr">
        <is>
          <t>dcdn-newapi-ph</t>
        </is>
      </c>
      <c r="G13" s="38" t="inlineStr">
        <is>
          <t>全球</t>
        </is>
      </c>
      <c r="H13" s="38" t="inlineStr">
        <is>
          <t>静态资源加速；index.html no-cache；带指纹 chunk 缓存 7 天</t>
        </is>
      </c>
      <c r="I13" s="38" t="inlineStr">
        <is>
          <t>17(前置)</t>
        </is>
      </c>
      <c r="J13" s="38" t="inlineStr">
        <is>
          <t>控制台</t>
        </is>
      </c>
      <c r="K13" s="38" t="inlineStr">
        <is>
          <t>D2</t>
        </is>
      </c>
      <c r="L13" s="38" t="inlineStr">
        <is>
          <t>人员A</t>
        </is>
      </c>
      <c r="M13" s="38" t="inlineStr">
        <is>
          <t>可按裁剪预案延后</t>
        </is>
      </c>
    </row>
    <row r="14" ht="14.25" customHeight="1" s="11">
      <c r="A14" s="16" t="inlineStr">
        <is>
          <t>11</t>
        </is>
      </c>
      <c r="B14" s="36" t="inlineStr">
        <is>
          <t>计算</t>
        </is>
      </c>
      <c r="C14" s="36" t="inlineStr">
        <is>
          <t>ACK Pro 托管版</t>
        </is>
      </c>
      <c r="D14" s="36" t="inlineStr">
        <is>
          <t>控制面 SLA 99.95%</t>
        </is>
      </c>
      <c r="E14" s="36" t="n">
        <v>1</v>
      </c>
      <c r="F14" s="36" t="inlineStr">
        <is>
          <t>ack-newapi-mnl</t>
        </is>
      </c>
      <c r="G14" s="36" t="inlineStr">
        <is>
          <t>多可用区</t>
        </is>
      </c>
      <c r="H14" s="36" t="inlineStr">
        <is>
          <t>Kubernetes 1.31+；CNI Terway；开启 RRSA</t>
        </is>
      </c>
      <c r="I14" s="36" t="inlineStr">
        <is>
          <t>7(前置)</t>
        </is>
      </c>
      <c r="J14" s="36" t="inlineStr">
        <is>
          <t>控制台</t>
        </is>
      </c>
      <c r="K14" s="36" t="inlineStr">
        <is>
          <t>D1</t>
        </is>
      </c>
      <c r="L14" s="36" t="inlineStr">
        <is>
          <t>人员A</t>
        </is>
      </c>
      <c r="M14" s="36" t="inlineStr">
        <is>
          <t>需 ACK 配额已批复</t>
        </is>
      </c>
    </row>
    <row r="15" ht="42.75" customHeight="1" s="11">
      <c r="A15" s="37" t="inlineStr">
        <is>
          <t>12</t>
        </is>
      </c>
      <c r="B15" s="38" t="inlineStr">
        <is>
          <t>计算</t>
        </is>
      </c>
      <c r="C15" s="38" t="inlineStr">
        <is>
          <t>ECS 节点池</t>
        </is>
      </c>
      <c r="D15" s="38" t="inlineStr">
        <is>
          <t>ecs.g9i.2xlarge（8C32G，**首选**）；实配三机型列表 [g9i.2xlarge, g8ine.2xlarge, g9ae.2xlarge]，2026-10-05 实开 4 台 ecs.g9ae.2xlarge</t>
        </is>
      </c>
      <c r="E15" s="38" t="inlineStr">
        <is>
          <t>≥ 4</t>
        </is>
      </c>
      <c r="F15" s="38" t="inlineStr">
        <is>
          <t>ecs-mnl-node-01..04</t>
        </is>
      </c>
      <c r="G15" s="38" t="inlineStr">
        <is>
          <t>跨 2 个可用区</t>
        </is>
      </c>
      <c r="H15" s="38" t="inlineStr">
        <is>
          <t>系统盘 100G ESSD PL1 + 数据盘 300G ESSD；nofile=200000</t>
        </is>
      </c>
      <c r="I15" s="38" t="inlineStr">
        <is>
          <t>11</t>
        </is>
      </c>
      <c r="J15" s="38" t="inlineStr">
        <is>
          <t>控制台</t>
        </is>
      </c>
      <c r="K15" s="38" t="inlineStr">
        <is>
          <t>D2</t>
        </is>
      </c>
      <c r="L15" s="38" t="inlineStr">
        <is>
          <t>人员A</t>
        </is>
      </c>
      <c r="M15" s="38" t="inlineStr">
        <is>
          <t>HPA min 4 / max **13**（2026-10-06 二次裁定；Pod request 2 vCPU / 4 GiB）；节点池自动伸缩 min 4 / max 8（按量 PostPaid，配额 64/64 ⇒ 顶满零余量）；13 副本需 ≥5 台节点；单 AZ 故障仍有 2 副本</t>
        </is>
      </c>
    </row>
    <row r="16" ht="14.25" customHeight="1" s="11">
      <c r="A16" s="16" t="inlineStr">
        <is>
          <t>13</t>
        </is>
      </c>
      <c r="B16" s="36" t="inlineStr">
        <is>
          <t>计算</t>
        </is>
      </c>
      <c r="C16" s="36" t="inlineStr">
        <is>
          <t>ACR 企业版（马尼拉）</t>
        </is>
      </c>
      <c r="D16" s="36" t="inlineStr">
        <is>
          <t>企业版实例</t>
        </is>
      </c>
      <c r="E16" s="36" t="n">
        <v>1</v>
      </c>
      <c r="F16" s="36" t="inlineStr">
        <is>
          <t>acr-newapi-mnl</t>
        </is>
      </c>
      <c r="G16" s="36" t="inlineStr">
        <is>
          <t>ap-southeast-6</t>
        </is>
      </c>
      <c r="H16" s="36" t="inlineStr">
        <is>
          <t>VPC 域名供集群拉取；开启镜像扫描与签名</t>
        </is>
      </c>
      <c r="I16" s="36" t="inlineStr">
        <is>
          <t>12(前置)</t>
        </is>
      </c>
      <c r="J16" s="36" t="inlineStr">
        <is>
          <t>控制台</t>
        </is>
      </c>
      <c r="K16" s="36" t="inlineStr">
        <is>
          <t>D1</t>
        </is>
      </c>
      <c r="L16" s="36" t="inlineStr">
        <is>
          <t>人员B</t>
        </is>
      </c>
      <c r="M16" s="36" t="inlineStr">
        <is>
          <t>镜像 tag = git sha</t>
        </is>
      </c>
    </row>
    <row r="17" ht="14.25" customHeight="1" s="11">
      <c r="A17" s="37" t="inlineStr">
        <is>
          <t>14</t>
        </is>
      </c>
      <c r="B17" s="38" t="inlineStr">
        <is>
          <t>数据</t>
        </is>
      </c>
      <c r="C17" s="38" t="inlineStr">
        <is>
          <t>RDS PostgreSQL 高可用版</t>
        </is>
      </c>
      <c r="D17" s="38" t="inlineStr">
        <is>
          <t>PostgreSQL 17（实测 17.10）；pg.n4.2c.2m = 2C / 8G；max_connections = 800（用户不可改）</t>
        </is>
      </c>
      <c r="E17" s="38" t="n">
        <v>1</v>
      </c>
      <c r="F17" s="38" t="inlineStr">
        <is>
          <t>rds-mnl-newapi</t>
        </is>
      </c>
      <c r="G17" s="38" t="inlineStr">
        <is>
          <t>主 A 备 B（跨可用区）</t>
        </is>
      </c>
      <c r="H17" s="38" t="inlineStr">
        <is>
          <t>PITR 7 天；每日全量 + WAL 归档 OSS；开启公网地址但仅放行新加坡 NAT EIP</t>
        </is>
      </c>
      <c r="I17" s="38" t="inlineStr">
        <is>
          <t>9(前置)</t>
        </is>
      </c>
      <c r="J17" s="38" t="inlineStr">
        <is>
          <t>控制台/IaC</t>
        </is>
      </c>
      <c r="K17" s="38" t="inlineStr">
        <is>
          <t>D1</t>
        </is>
      </c>
      <c r="L17" s="38" t="inlineStr">
        <is>
          <t>人员B</t>
        </is>
      </c>
      <c r="M17" s="38" t="inlineStr">
        <is>
          <t>菲律宾唯一主库</t>
        </is>
      </c>
    </row>
    <row r="18" ht="14.25" customHeight="1" s="11">
      <c r="A18" s="16" t="inlineStr">
        <is>
          <t>15</t>
        </is>
      </c>
      <c r="B18" s="36" t="inlineStr">
        <is>
          <t>数据</t>
        </is>
      </c>
      <c r="C18" s="36" t="inlineStr">
        <is>
          <t>RDS 账号与数据库</t>
        </is>
      </c>
      <c r="D18" s="36" t="inlineStr">
        <is>
          <t>—</t>
        </is>
      </c>
      <c r="E18" s="36" t="n">
        <v>2</v>
      </c>
      <c r="F18" s="36" t="inlineStr">
        <is>
          <t>newapi / newapi_sg</t>
        </is>
      </c>
      <c r="G18" s="36" t="inlineStr">
        <is>
          <t>马尼拉</t>
        </is>
      </c>
      <c r="H18" s="36" t="inlineStr">
        <is>
          <t>newapi：应用主账号；newapi_sg：备 region 接管账号（最小权限）</t>
        </is>
      </c>
      <c r="I18" s="36" t="inlineStr">
        <is>
          <t>14</t>
        </is>
      </c>
      <c r="J18" s="36" t="inlineStr">
        <is>
          <t>控制台</t>
        </is>
      </c>
      <c r="K18" s="36" t="inlineStr">
        <is>
          <t>D1</t>
        </is>
      </c>
      <c r="L18" s="36" t="inlineStr">
        <is>
          <t>人员B</t>
        </is>
      </c>
      <c r="M18" s="36" t="inlineStr">
        <is>
          <t>禁止与备 region 共用超级账号</t>
        </is>
      </c>
    </row>
    <row r="19" ht="14.25" customHeight="1" s="11">
      <c r="A19" s="37" t="inlineStr">
        <is>
          <t>16</t>
        </is>
      </c>
      <c r="B19" s="38" t="inlineStr">
        <is>
          <t>数据</t>
        </is>
      </c>
      <c r="C19" s="38" t="inlineStr">
        <is>
          <t>RDS 只读实例（可选）</t>
        </is>
      </c>
      <c r="D19" s="38" t="inlineStr">
        <is>
          <t>pg 15，同规格</t>
        </is>
      </c>
      <c r="E19" s="38" t="n">
        <v>1</v>
      </c>
      <c r="F19" s="38" t="inlineStr">
        <is>
          <t>rds-mnl-newapi-ro</t>
        </is>
      </c>
      <c r="G19" s="38" t="inlineStr">
        <is>
          <t>马尼拉</t>
        </is>
      </c>
      <c r="H19" s="38" t="inlineStr">
        <is>
          <t>报表与导出类查询分流</t>
        </is>
      </c>
      <c r="I19" s="38" t="inlineStr">
        <is>
          <t>14</t>
        </is>
      </c>
      <c r="J19" s="38" t="inlineStr">
        <is>
          <t>控制台</t>
        </is>
      </c>
      <c r="K19" s="38" t="inlineStr">
        <is>
          <t>D2</t>
        </is>
      </c>
      <c r="L19" s="38" t="inlineStr">
        <is>
          <t>人员B</t>
        </is>
      </c>
      <c r="M19" s="38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6" t="inlineStr">
        <is>
          <t>缓存</t>
        </is>
      </c>
      <c r="C20" s="36" t="inlineStr">
        <is>
          <t>Tair（Redis 兼容）</t>
        </is>
      </c>
      <c r="D20" s="36" t="inlineStr">
        <is>
          <t>主备版 4 GB</t>
        </is>
      </c>
      <c r="E20" s="36" t="n">
        <v>1</v>
      </c>
      <c r="F20" s="36" t="inlineStr">
        <is>
          <t>tair-mnl-newapi</t>
        </is>
      </c>
      <c r="G20" s="36" t="inlineStr">
        <is>
          <t>多可用区</t>
        </is>
      </c>
      <c r="H20" s="36" t="inlineStr">
        <is>
          <t>密码 + 内网 ACL；maxmemory-policy allkeys-lru</t>
        </is>
      </c>
      <c r="I20" s="36" t="inlineStr">
        <is>
          <t>4(前置)</t>
        </is>
      </c>
      <c r="J20" s="36" t="inlineStr">
        <is>
          <t>控制台</t>
        </is>
      </c>
      <c r="K20" s="36" t="inlineStr">
        <is>
          <t>D1</t>
        </is>
      </c>
      <c r="L20" s="36" t="inlineStr">
        <is>
          <t>人员B</t>
        </is>
      </c>
      <c r="M20" s="36" t="inlineStr">
        <is>
          <t>生产建议升级集群版</t>
        </is>
      </c>
    </row>
    <row r="21" ht="14.25" customHeight="1" s="11">
      <c r="A21" s="37" t="inlineStr">
        <is>
          <t>18</t>
        </is>
      </c>
      <c r="B21" s="38" t="inlineStr">
        <is>
          <t>日志</t>
        </is>
      </c>
      <c r="C21" s="38" t="inlineStr">
        <is>
          <t>云数据库 ClickHouse</t>
        </is>
      </c>
      <c r="D21" s="38" t="inlineStr">
        <is>
          <t>企业版 · 单可用区（只支持 ap-southeast-6a）· 存储只有 OSS · 只有按量付费</t>
        </is>
      </c>
      <c r="E21" s="38" t="n">
        <v>1</v>
      </c>
      <c r="F21" s="38" t="inlineStr">
        <is>
          <t>cc-5tsv2o51s1360b0pr（ck-mnl-newapi）</t>
        </is>
      </c>
      <c r="G21" s="38" t="inlineStr">
        <is>
          <t>马尼拉</t>
        </is>
      </c>
      <c r="H21" s="38" t="inlineStr">
        <is>
          <t>仅承载 LOG_SQL_DSN；TTL 90 天；白名单 = 主站 app 两段 + 账号 newapi/ckadmin；库 newapi_logs（表 logs 20 列与代码 DDL 同构）；**LOG_SQL_DSN 已于 2026-10-05 注入两地集群并端到端鉴权通过**（sg 用 -public 端点）</t>
        </is>
      </c>
      <c r="I21" s="38" t="inlineStr">
        <is>
          <t>9(前置)</t>
        </is>
      </c>
      <c r="J21" s="38" t="inlineStr">
        <is>
          <t>控制台</t>
        </is>
      </c>
      <c r="K21" s="38" t="inlineStr">
        <is>
          <t>D1</t>
        </is>
      </c>
      <c r="L21" s="38" t="inlineStr">
        <is>
          <t>人员B</t>
        </is>
      </c>
      <c r="M21" s="38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6" t="inlineStr">
        <is>
          <t>存储</t>
        </is>
      </c>
      <c r="C22" s="36" t="inlineStr">
        <is>
          <t>OSS Bucket</t>
        </is>
      </c>
      <c r="D22" s="36" t="inlineStr">
        <is>
          <t>标准 + 低频生命周期</t>
        </is>
      </c>
      <c r="E22" s="36" t="n">
        <v>1</v>
      </c>
      <c r="F22" s="36" t="inlineStr">
        <is>
          <t>oss-newapi-mnl</t>
        </is>
      </c>
      <c r="G22" s="36" t="inlineStr">
        <is>
          <t>马尼拉</t>
        </is>
      </c>
      <c r="H22" s="36" t="inlineStr">
        <is>
          <t>同城冗余 ZRS；版本控制；90 天转归档；防盗链 + 签名 URL</t>
        </is>
      </c>
      <c r="I22" s="36" t="inlineStr">
        <is>
          <t>12(前置)</t>
        </is>
      </c>
      <c r="J22" s="36" t="inlineStr">
        <is>
          <t>控制台</t>
        </is>
      </c>
      <c r="K22" s="36" t="inlineStr">
        <is>
          <t>D1</t>
        </is>
      </c>
      <c r="L22" s="36" t="inlineStr">
        <is>
          <t>人员B</t>
        </is>
      </c>
      <c r="M22" s="36" t="inlineStr">
        <is>
          <t>同时承载 RDS 备份归档</t>
        </is>
      </c>
    </row>
    <row r="23" ht="14.25" customHeight="1" s="11">
      <c r="A23" s="37" t="inlineStr">
        <is>
          <t>20</t>
        </is>
      </c>
      <c r="B23" s="38" t="inlineStr">
        <is>
          <t>安全</t>
        </is>
      </c>
      <c r="C23" s="38" t="inlineStr">
        <is>
          <t>凭据链路（不使用 KMS）</t>
        </is>
      </c>
      <c r="D23" s="38" t="inlineStr">
        <is>
          <t>手工 Opaque Secret + 执行机保管目录 ~/.deploy_secrets（600）</t>
        </is>
      </c>
      <c r="E23" s="38" t="n">
        <v>1</v>
      </c>
      <c r="F23" s="38" t="inlineStr">
        <is>
          <t>—（无云侧资源）</t>
        </is>
      </c>
      <c r="G23" s="38" t="inlineStr">
        <is>
          <t>马尼拉</t>
        </is>
      </c>
      <c r="H23" s="38" t="inlineStr">
        <is>
          <t>2026-10-05 裁定：不实施 KMS 凭据管家 / RRSA / ExternalSecret</t>
        </is>
      </c>
      <c r="I23" s="38" t="inlineStr">
        <is>
          <t>10(前置)</t>
        </is>
      </c>
      <c r="J23" s="38" t="inlineStr">
        <is>
          <t>—</t>
        </is>
      </c>
      <c r="K23" s="38" t="inlineStr">
        <is>
          <t>—（不实施）</t>
        </is>
      </c>
      <c r="L23" s="38" t="inlineStr">
        <is>
          <t>人员B</t>
        </is>
      </c>
      <c r="M23" s="38" t="inlineStr">
        <is>
          <t>改由 deploy/task17_secret_inject.sh 以 kubectl create secret --from-literal 就地注入；轮转 = 两地人工双写 + 两次 rollout restart + 指纹核对（原「云端改一次自动跟随」的能力放弃）</t>
        </is>
      </c>
    </row>
    <row r="24" ht="14.25" customHeight="1" s="11">
      <c r="A24" s="16" t="inlineStr">
        <is>
          <t>21</t>
        </is>
      </c>
      <c r="B24" s="36" t="inlineStr">
        <is>
          <t>安全</t>
        </is>
      </c>
      <c r="C24" s="36" t="inlineStr">
        <is>
          <t>安全组与网络 ACL</t>
        </is>
      </c>
      <c r="D24" s="36" t="inlineStr">
        <is>
          <t>—</t>
        </is>
      </c>
      <c r="E24" s="36" t="inlineStr">
        <is>
          <t>—</t>
        </is>
      </c>
      <c r="F24" s="36" t="inlineStr">
        <is>
          <t>sg-mnl-alb / sg-mnl-app / sg-mnl-db</t>
        </is>
      </c>
      <c r="G24" s="36" t="inlineStr">
        <is>
          <t>马尼拉</t>
        </is>
      </c>
      <c r="H24" s="36" t="inlineStr">
        <is>
          <t>端口最小化，规则详见「网络与安全规划」</t>
        </is>
      </c>
      <c r="I24" s="36" t="inlineStr">
        <is>
          <t>2,3,12</t>
        </is>
      </c>
      <c r="J24" s="36" t="inlineStr">
        <is>
          <t>控制台</t>
        </is>
      </c>
      <c r="K24" s="36" t="inlineStr">
        <is>
          <t>D3</t>
        </is>
      </c>
      <c r="L24" s="36" t="inlineStr">
        <is>
          <t>人员A</t>
        </is>
      </c>
      <c r="M24" s="36" t="inlineStr">
        <is>
          <t>app 仅允许 ALB 访问 3000</t>
        </is>
      </c>
    </row>
    <row r="25" ht="14.25" customHeight="1" s="11">
      <c r="A25" s="37" t="inlineStr">
        <is>
          <t>22</t>
        </is>
      </c>
      <c r="B25" s="38" t="inlineStr">
        <is>
          <t>观测</t>
        </is>
      </c>
      <c r="C25" s="38" t="inlineStr">
        <is>
          <t>SLS Project / LogStore</t>
        </is>
      </c>
      <c r="D25" s="38" t="inlineStr">
        <is>
          <t>按量</t>
        </is>
      </c>
      <c r="E25" s="38" t="n">
        <v>1</v>
      </c>
      <c r="F25" s="38" t="inlineStr">
        <is>
          <t>sls-newapi-mnl</t>
        </is>
      </c>
      <c r="G25" s="38" t="inlineStr">
        <is>
          <t>马尼拉</t>
        </is>
      </c>
      <c r="H25" s="38" t="inlineStr">
        <is>
          <t>采集 stdout（容器日志实际落点 = ACK 自管项目 k8s-log-&lt;clusterId&gt;，mnl cd57e40c…）；应用文件日志实为 /data/logs/oneapi-*.log（由 CLI 参数 -log-dir 指定，非 env）；sys 30 天 / audit 180 天</t>
        </is>
      </c>
      <c r="I25" s="38" t="inlineStr">
        <is>
          <t>11</t>
        </is>
      </c>
      <c r="J25" s="38" t="inlineStr">
        <is>
          <t>控制台</t>
        </is>
      </c>
      <c r="K25" s="38" t="inlineStr">
        <is>
          <t>D4</t>
        </is>
      </c>
      <c r="L25" s="38" t="inlineStr">
        <is>
          <t>人员A</t>
        </is>
      </c>
      <c r="M25" s="38" t="inlineStr">
        <is>
          <t>Logtail DaemonSet 采集；sls-newapi-mnl 仅承载云产品侧日志（alb_access 在写；rds-audit / actiontrail 近 7 天 count=0，真因 = RDS SQL 审计 Disabled + ActionTrail 按 F6 投递 OSS）</t>
        </is>
      </c>
    </row>
    <row r="26" ht="28.5" customHeight="1" s="11">
      <c r="A26" s="16" t="inlineStr">
        <is>
          <t>23</t>
        </is>
      </c>
      <c r="B26" s="36" t="inlineStr">
        <is>
          <t>观测</t>
        </is>
      </c>
      <c r="C26" s="36" t="inlineStr">
        <is>
          <t>ARMS Prometheus + 应用监控</t>
        </is>
      </c>
      <c r="D26" s="36" t="inlineStr">
        <is>
          <t>按量</t>
        </is>
      </c>
      <c r="E26" s="36" t="n">
        <v>1</v>
      </c>
      <c r="F26" s="36" t="inlineStr">
        <is>
          <t>arms-newapi-mnl</t>
        </is>
      </c>
      <c r="G26" s="36" t="inlineStr">
        <is>
          <t>马尼拉</t>
        </is>
      </c>
      <c r="H26" s="36" t="inlineStr">
        <is>
          <t>ServiceMonitor 抓 /metrics（需补建）；OpenTelemetry SDK（需补建）</t>
        </is>
      </c>
      <c r="I26" s="36" t="inlineStr">
        <is>
          <t>11</t>
        </is>
      </c>
      <c r="J26" s="36" t="inlineStr">
        <is>
          <t>控制台</t>
        </is>
      </c>
      <c r="K26" s="36" t="inlineStr">
        <is>
          <t>D4</t>
        </is>
      </c>
      <c r="L26" s="36" t="inlineStr">
        <is>
          <t>人员A</t>
        </is>
      </c>
      <c r="M26" s="36" t="inlineStr">
        <is>
          <t>代码补建项须在 T-3 完成（门禁 G8）；**/readyz 必须免限流** —— 现用 /api/status 同时是 ALB 健康检查与 kubelet 探针路径，落在 GlobalAPIRateLimit（360/180s per IP）内，每源 IP 每窗口 480 条 ⇒ 已造成一次自伤重启（2026-10-06）</t>
        </is>
      </c>
    </row>
    <row r="27" ht="28.5" customHeight="1" s="11">
      <c r="A27" s="37" t="inlineStr">
        <is>
          <t>24</t>
        </is>
      </c>
      <c r="B27" s="38" t="inlineStr">
        <is>
          <t>观测</t>
        </is>
      </c>
      <c r="C27" s="38" t="inlineStr">
        <is>
          <t>云监控站点监控（拨测）</t>
        </is>
      </c>
      <c r="D27" s="38" t="inlineStr">
        <is>
          <t>按量</t>
        </is>
      </c>
      <c r="E27" s="38" t="n">
        <v>1</v>
      </c>
      <c r="F27" s="38" t="inlineStr">
        <is>
          <t>—</t>
        </is>
      </c>
      <c r="G27" s="38" t="inlineStr">
        <is>
          <t>马尼拉 + 新加坡 + 东京 + 香港</t>
        </is>
      </c>
      <c r="H27" s="38" t="inlineStr">
        <is>
          <t>探测 GET /api/status，间隔 1 分钟，断言 success:true 与版本匹配</t>
        </is>
      </c>
      <c r="I27" s="38" t="inlineStr">
        <is>
          <t>11(前置)</t>
        </is>
      </c>
      <c r="J27" s="38" t="inlineStr">
        <is>
          <t>控制台</t>
        </is>
      </c>
      <c r="K27" s="38" t="inlineStr">
        <is>
          <t>D4</t>
        </is>
      </c>
      <c r="L27" s="38" t="inlineStr">
        <is>
          <t>人员A</t>
        </is>
      </c>
      <c r="M27" s="38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6" t="inlineStr">
        <is>
          <t>观测</t>
        </is>
      </c>
      <c r="C28" s="36" t="inlineStr">
        <is>
          <t>操作审计 ActionTrail</t>
        </is>
      </c>
      <c r="D28" s="36" t="inlineStr">
        <is>
          <t>默认</t>
        </is>
      </c>
      <c r="E28" s="36" t="n">
        <v>1</v>
      </c>
      <c r="F28" s="36" t="inlineStr">
        <is>
          <t>—</t>
        </is>
      </c>
      <c r="G28" s="36" t="inlineStr">
        <is>
          <t>马尼拉</t>
        </is>
      </c>
      <c r="H28" s="36" t="inlineStr">
        <is>
          <t>记录全部云 API 变更，保留 180 天；运维访问面另见 #38。**实况：投递 OSS（newapi-audit-trail → oss-newapi-mnl），SLS 同名 Logstore 为预留占位**</t>
        </is>
      </c>
      <c r="I28" s="36" t="inlineStr">
        <is>
          <t>5(前置)</t>
        </is>
      </c>
      <c r="J28" s="36" t="inlineStr">
        <is>
          <t>控制台</t>
        </is>
      </c>
      <c r="K28" s="36" t="inlineStr">
        <is>
          <t>D1</t>
        </is>
      </c>
      <c r="L28" s="36" t="inlineStr">
        <is>
          <t>人员A</t>
        </is>
      </c>
      <c r="M28" s="36" t="inlineStr">
        <is>
          <t>合规与变更追溯</t>
        </is>
      </c>
    </row>
    <row r="29" ht="28.5" customHeight="1" s="11">
      <c r="A29" s="37" t="inlineStr">
        <is>
          <t>26</t>
        </is>
      </c>
      <c r="B29" s="38" t="inlineStr">
        <is>
          <t>工作负载</t>
        </is>
      </c>
      <c r="C29" s="38" t="inlineStr">
        <is>
          <t>master Deployment</t>
        </is>
      </c>
      <c r="D29" s="38" t="inlineStr">
        <is>
          <t>—</t>
        </is>
      </c>
      <c r="E29" s="38" t="n">
        <v>1</v>
      </c>
      <c r="F29" s="38" t="inlineStr">
        <is>
          <t>new-api-master</t>
        </is>
      </c>
      <c r="G29" s="38" t="inlineStr">
        <is>
          <t>马尼拉</t>
        </is>
      </c>
      <c r="H29" s="38" t="inlineStr">
        <is>
          <t>NODE_TYPE=master；replicas=1；Recreate；独立 PVC（RWO）；不接 ALB 流量</t>
        </is>
      </c>
      <c r="I29" s="38" t="inlineStr">
        <is>
          <t>11,14</t>
        </is>
      </c>
      <c r="J29" s="38" t="inlineStr">
        <is>
          <t>GitOps</t>
        </is>
      </c>
      <c r="K29" s="38" t="inlineStr">
        <is>
          <t>D2</t>
        </is>
      </c>
      <c r="L29" s="38" t="inlineStr">
        <is>
          <t>人员B</t>
        </is>
      </c>
      <c r="M29" s="38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6" t="inlineStr">
        <is>
          <t>工作负载</t>
        </is>
      </c>
      <c r="C30" s="36" t="inlineStr">
        <is>
          <t>stable Deployment</t>
        </is>
      </c>
      <c r="D30" s="36" t="inlineStr">
        <is>
          <t>—</t>
        </is>
      </c>
      <c r="E30" s="36" t="n">
        <v>1</v>
      </c>
      <c r="F30" s="36" t="inlineStr">
        <is>
          <t>new-api-stable</t>
        </is>
      </c>
      <c r="G30" s="36" t="inlineStr">
        <is>
          <t>跨 2 个可用区</t>
        </is>
      </c>
      <c r="H30" s="36" t="inlineStr">
        <is>
          <t>replicas=4；maxUnavailable=0；PDB **minAvailable=70%**（现网：4 副本时 disruptionsAllowed=1；16 副本口径下比固定 3 更严）；HPA **4–13**；preStop sleep 15s；**必须显式钉 GOMAXPROCS=4**（容器内 nproc=8）；补 SESSION_COOKIE_SECURE + SESSION_COOKIE_TRUSTED_URL（须成对）与 RDS 根 CA 挂载 /etc/ssl/rds（Secret rds-ca-apse6）</t>
        </is>
      </c>
      <c r="I30" s="36" t="inlineStr">
        <is>
          <t>26</t>
        </is>
      </c>
      <c r="J30" s="36" t="inlineStr">
        <is>
          <t>GitOps</t>
        </is>
      </c>
      <c r="K30" s="36" t="inlineStr">
        <is>
          <t>D3</t>
        </is>
      </c>
      <c r="L30" s="36" t="inlineStr">
        <is>
          <t>人员B</t>
        </is>
      </c>
      <c r="M30" s="36" t="inlineStr">
        <is>
          <t>滚动发布零停机是 99.95% 前提；**13 副本需 ≥5 台节点**（每台最多容 3 个 2C 副本）；HPA 缩容不经 Eviction API ⇒ PDB 拦不住自动缩容</t>
        </is>
      </c>
    </row>
    <row r="31" ht="14.25" customHeight="1" s="11">
      <c r="A31" s="37" t="inlineStr">
        <is>
          <t>28</t>
        </is>
      </c>
      <c r="B31" s="38" t="inlineStr">
        <is>
          <t>工作负载</t>
        </is>
      </c>
      <c r="C31" s="38" t="inlineStr">
        <is>
          <t>canary Deployment</t>
        </is>
      </c>
      <c r="D31" s="38" t="inlineStr">
        <is>
          <t>—</t>
        </is>
      </c>
      <c r="E31" s="38" t="n">
        <v>1</v>
      </c>
      <c r="F31" s="38" t="inlineStr">
        <is>
          <t>new-api-canary</t>
        </is>
      </c>
      <c r="G31" s="38" t="inlineStr">
        <is>
          <t>马尼拉</t>
        </is>
      </c>
      <c r="H31" s="38" t="inlineStr">
        <is>
          <t>replicas=1；独立 Service 与 Ingress；canary-weight 5→20→50→100</t>
        </is>
      </c>
      <c r="I31" s="38" t="inlineStr">
        <is>
          <t>26</t>
        </is>
      </c>
      <c r="J31" s="38" t="inlineStr">
        <is>
          <t>GitOps</t>
        </is>
      </c>
      <c r="K31" s="38" t="inlineStr">
        <is>
          <t>D3</t>
        </is>
      </c>
      <c r="L31" s="38" t="inlineStr">
        <is>
          <t>人员B</t>
        </is>
      </c>
      <c r="M31" s="38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6" t="inlineStr">
        <is>
          <t>工作负载</t>
        </is>
      </c>
      <c r="C32" s="36" t="inlineStr">
        <is>
          <t>Namespace / ConfigMap / Secret</t>
        </is>
      </c>
      <c r="D32" s="36" t="inlineStr">
        <is>
          <t>—</t>
        </is>
      </c>
      <c r="E32" s="36" t="n">
        <v>1</v>
      </c>
      <c r="F32" s="36" t="inlineStr">
        <is>
          <t>namespace: new-api</t>
        </is>
      </c>
      <c r="G32" s="36" t="inlineStr">
        <is>
          <t>马尼拉</t>
        </is>
      </c>
      <c r="H32" s="36" t="inlineStr">
        <is>
          <t>见 impl_deploy.md 7.4.1；**密钥改手工 Opaque Secret 注入（不使用 KMS/RRSA/ExternalSecret）**；ConfigMap 默认 SQL_MAX_OPEN_CONNS=100，备站 Pod 用 env 覆盖为 10（env &gt; envFrom 已实测）</t>
        </is>
      </c>
      <c r="I32" s="36" t="inlineStr">
        <is>
          <t>20,11</t>
        </is>
      </c>
      <c r="J32" s="36" t="inlineStr">
        <is>
          <t>GitOps</t>
        </is>
      </c>
      <c r="K32" s="36" t="inlineStr">
        <is>
          <t>D2</t>
        </is>
      </c>
      <c r="L32" s="36" t="inlineStr">
        <is>
          <t>人员B</t>
        </is>
      </c>
      <c r="M32" s="36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PgBouncer（RDS 内置托管池）</t>
        </is>
      </c>
      <c r="D33" s="16" t="inlineStr">
        <is>
          <t>RDS PostgreSQL 内置托管 PgBouncer（实例上已启用，无自建部署）</t>
        </is>
      </c>
      <c r="E33" s="17" t="n">
        <v>1</v>
      </c>
      <c r="F33" s="16" t="inlineStr">
        <is>
          <t>—（托管形态，无独立资源）</t>
        </is>
      </c>
      <c r="G33" s="16" t="inlineStr">
        <is>
          <t>马尼拉</t>
        </is>
      </c>
      <c r="H33" s="16" t="inlineStr">
        <is>
          <t>实测参数：max_client_conn=2000 / default_pool_size=50 / pool_mode=transaction / query_wait_timeout=120；内网串与公网串均监听 6432；master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F10 已撤销自建口径；I-1 仅在 CK 日志库分支成立（13×100 + 20×10 = 1500 ≤ 2000 ✅）；「池化是切流硬性前置」不变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节点池自动伸缩（ACK 托管弹性组件 ack-goatscaler）</t>
        </is>
      </c>
      <c r="D34" s="16" t="inlineStr">
        <is>
          <t>ACK 托管侧组件（版本随 ACK）</t>
        </is>
      </c>
      <c r="E34" s="17" t="n">
        <v>1</v>
      </c>
      <c r="F34" s="16" t="inlineStr">
        <is>
          <t>—（无独立资源；状态在 cm/kube-system/autoscaler-meta）</t>
        </is>
      </c>
      <c r="G34" s="16" t="inlineStr">
        <is>
          <t>马尼拉</t>
        </is>
      </c>
      <c r="H34" s="16" t="inlineStr">
        <is>
          <t>节点池 np-mnl-app enable=true min 4 / max 8（按量 PostPaid，配额 64/64）；scan_interval 60s / expander least-waste / utilization_threshold 0.5 / unneeded_duration 10m / cool_down_duration 10m / **scale_down_enabled true**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组件存在性已证（lease 续租与节点 date -u 同秒）；**「能自动扩出节点」从未被验证** ⇒ 任务 42 验收未做；scale_down_enabled=true 与 HPA 缩容构成双层缩容风险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SQL_MAX_OPEN_CONNS=100（一个值同时管主库与日志库）/ RDS max_connections=800 ⇒ 预算上限 640 / 托管池 max_client_conn=2000；核算式：(主站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PG。**代码里没有 LOG_SQL_MAX_OPEN_CONNS**（主库与日志库读同一组变量）⇒ 不存在「只降日志库」的路径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ACL；**2026-10-05 已实测 newapi-master PUBLIC→PRIVATE，双 SA 门禁复验通过**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原方案无成本量化，主要变量未落入表格；**节点单价按实况整机（含系统盘 100G ESSD + 数据盘 300G ESSD PL1）取：g9ae 包月 288.82 / 按量 0.51848 USD·h（4 台按量 ≈1513.96 USD/月）**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A1" sqref="A1:M1"/>
    </sheetView>
  </sheetViews>
  <sheetFormatPr baseColWidth="8" defaultColWidth="9" defaultRowHeight="13.5"/>
  <cols>
    <col width="4.775" customWidth="1" style="1" min="1" max="1"/>
    <col width="7.60833333333333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0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67.25" customWidth="1" style="1" min="13" max="13"/>
    <col width="9" customWidth="1" style="1" min="14" max="26"/>
  </cols>
  <sheetData>
    <row r="1" ht="21" customHeight="1" s="11">
      <c r="A1" s="29" t="inlineStr">
        <is>
          <t>备 region 资源清单 · ap-southeast-1（新加坡，仅承载菲律宾备用负载）</t>
        </is>
      </c>
    </row>
    <row r="3" ht="14.25" customHeight="1" s="11">
      <c r="A3" s="30" t="inlineStr">
        <is>
          <t>序号</t>
        </is>
      </c>
      <c r="B3" s="30" t="inlineStr">
        <is>
          <t>层</t>
        </is>
      </c>
      <c r="C3" s="30" t="inlineStr">
        <is>
          <t>资源 / 产品</t>
        </is>
      </c>
      <c r="D3" s="30" t="inlineStr">
        <is>
          <t>规格与版本</t>
        </is>
      </c>
      <c r="E3" s="30" t="inlineStr">
        <is>
          <t>数量</t>
        </is>
      </c>
      <c r="F3" s="30" t="inlineStr">
        <is>
          <t>命名规范</t>
        </is>
      </c>
      <c r="G3" s="30" t="inlineStr">
        <is>
          <t>地域 / 可用区</t>
        </is>
      </c>
      <c r="H3" s="30" t="inlineStr">
        <is>
          <t>关键配置</t>
        </is>
      </c>
      <c r="I3" s="30" t="inlineStr">
        <is>
          <t>前置依赖</t>
        </is>
      </c>
      <c r="J3" s="30" t="inlineStr">
        <is>
          <t>申请方式</t>
        </is>
      </c>
      <c r="K3" s="30" t="inlineStr">
        <is>
          <t>落地日</t>
        </is>
      </c>
      <c r="L3" s="30" t="inlineStr">
        <is>
          <t>负责</t>
        </is>
      </c>
      <c r="M3" s="30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31" t="inlineStr">
        <is>
          <t>2</t>
        </is>
      </c>
      <c r="B5" s="31" t="inlineStr">
        <is>
          <t>网络</t>
        </is>
      </c>
      <c r="C5" s="31" t="inlineStr">
        <is>
          <t>vSwitch</t>
        </is>
      </c>
      <c r="D5" s="31" t="inlineStr">
        <is>
          <t>2 × /24 + 8 × /20</t>
        </is>
      </c>
      <c r="E5" s="31" t="inlineStr">
        <is>
          <t>10</t>
        </is>
      </c>
      <c r="F5" s="31" t="inlineStr">
        <is>
          <t>vsw-sg-pub-a/b、vsw-sg-app-a/b/c/d、vsw-sg-data-a/b/c/d</t>
        </is>
      </c>
      <c r="G5" s="31" t="inlineStr">
        <is>
          <t>跨 4 个可用区（1a/1b/1c/1d）</t>
        </is>
      </c>
      <c r="H5" s="31" t="inlineStr">
        <is>
          <t>公共子网承载 ALB 与 NAT；私有子网承载 Pod</t>
        </is>
      </c>
      <c r="I5" s="31" t="inlineStr">
        <is>
          <t>1</t>
        </is>
      </c>
      <c r="J5" s="31" t="inlineStr">
        <is>
          <t>控制台/IaC</t>
        </is>
      </c>
      <c r="K5" s="31" t="inlineStr">
        <is>
          <t>D1</t>
        </is>
      </c>
      <c r="L5" s="31" t="inlineStr">
        <is>
          <t>人员A</t>
        </is>
      </c>
      <c r="M5" s="31" t="inlineStr">
        <is>
          <t>至少 2 个可用区（2026-10-08 扩为 4：app/data 各 +c/d）</t>
        </is>
      </c>
    </row>
    <row r="6" ht="14.2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31" t="inlineStr">
        <is>
          <t>4</t>
        </is>
      </c>
      <c r="B7" s="31" t="inlineStr">
        <is>
          <t>接入</t>
        </is>
      </c>
      <c r="C7" s="31" t="inlineStr">
        <is>
          <t>ALB</t>
        </is>
      </c>
      <c r="D7" s="31" t="inlineStr">
        <is>
          <t>标准版 II</t>
        </is>
      </c>
      <c r="E7" s="31" t="n">
        <v>1</v>
      </c>
      <c r="F7" s="31" t="inlineStr">
        <is>
          <t>alb-newapi-sg</t>
        </is>
      </c>
      <c r="G7" s="31" t="inlineStr">
        <is>
          <t>跨 2 个可用区</t>
        </is>
      </c>
      <c r="H7" s="31" t="inlineStr">
        <is>
          <t>实况：**只有 HTTP:80 一个监听**（443 待 G5）；idleTimeout 60s + requestTimeout 180s；⚠ sg 侧两个服务器组挂同一批 ENI、pri=2 无 host 条件（任意 Host 进业务组）⇒ 属任务 25/47 收口项</t>
        </is>
      </c>
      <c r="I7" s="31" t="inlineStr">
        <is>
          <t>3,17(前置)</t>
        </is>
      </c>
      <c r="J7" s="31" t="inlineStr">
        <is>
          <t>控制台/IaC</t>
        </is>
      </c>
      <c r="K7" s="31" t="inlineStr">
        <is>
          <t>D4</t>
        </is>
      </c>
      <c r="L7" s="31" t="inlineStr">
        <is>
          <t>人员A</t>
        </is>
      </c>
      <c r="M7" s="31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企业版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api.example-ph.com 流量；规则与马尼拉保持一致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31" t="inlineStr">
        <is>
          <t>6</t>
        </is>
      </c>
      <c r="B9" s="31" t="inlineStr">
        <is>
          <t>接入</t>
        </is>
      </c>
      <c r="C9" s="31" t="inlineStr">
        <is>
          <t>ACR 企业版（新加坡）</t>
        </is>
      </c>
      <c r="D9" s="31" t="inlineStr">
        <is>
          <t>单地域马尼拉（不建独立 ACR）</t>
        </is>
      </c>
      <c r="E9" s="31" t="n">
        <v>1</v>
      </c>
      <c r="F9" s="31" t="inlineStr">
        <is>
          <t>acr-newapi-sg</t>
        </is>
      </c>
      <c r="G9" s="31" t="inlineStr">
        <is>
          <t>ap-southeast-1</t>
        </is>
      </c>
      <c r="H9" s="31" t="inlineStr">
        <is>
          <t>**F8：镜像源改单地域马尼拉**；新加坡不建独立 ACR，跨区用马尼拉 ACR 公网域名拉取（sg 节点解析不了 -vpc 内网域名）</t>
        </is>
      </c>
      <c r="I9" s="31" t="inlineStr">
        <is>
          <t>12(前置)</t>
        </is>
      </c>
      <c r="J9" s="31" t="inlineStr">
        <is>
          <t>控制台</t>
        </is>
      </c>
      <c r="K9" s="31" t="inlineStr">
        <is>
          <t>D1</t>
        </is>
      </c>
      <c r="L9" s="31" t="inlineStr">
        <is>
          <t>人员B</t>
        </is>
      </c>
      <c r="M9" s="31" t="inlineStr">
        <is>
          <t>ACR EE 端点只接受本地域 VPC 绑定 ⇒ 跨区内网拉镜像不可行；Pull 凭据挂在 SA/new-api-app</t>
        </is>
      </c>
    </row>
    <row r="10" ht="28.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42.75" customHeight="1" s="11">
      <c r="A11" s="31" t="inlineStr">
        <is>
          <t>8</t>
        </is>
      </c>
      <c r="B11" s="31" t="inlineStr">
        <is>
          <t>计算</t>
        </is>
      </c>
      <c r="C11" s="31" t="inlineStr">
        <is>
          <t>ECS 节点池</t>
        </is>
      </c>
      <c r="D11" s="31" t="inlineStr">
        <is>
          <t>ecs.g9i.2xlarge（8C32G，**首选**）；实况 2 台为**混型**：ecs.g8ine.2xlarge + ecs.g9ae.2xlarge</t>
        </is>
      </c>
      <c r="E11" s="31" t="inlineStr">
        <is>
          <t>≥ 2</t>
        </is>
      </c>
      <c r="F11" s="31" t="inlineStr">
        <is>
          <t>ecs-sg-node-01..02</t>
        </is>
      </c>
      <c r="G11" s="31" t="inlineStr">
        <is>
          <t>跨 2 个可用区</t>
        </is>
      </c>
      <c r="H11" s="31" t="inlineStr">
        <is>
          <t>PH 备常态 2 副本（本期唯一工作负载，不含泰国备）；节点池自动伸缩 min 2 / **max 12**（实况配额 96 vCPU）。按接管 20 副本折算：20 × request 2 vCPU = 40 vCPU，÷ (7.9 × 0.8 = 6.32) ≈ 6.3 → 7 节点（容量下限 8 节点 / 64 vCPU）；冷备形态会拉长 RTO</t>
        </is>
      </c>
      <c r="I11" s="31" t="inlineStr">
        <is>
          <t>7</t>
        </is>
      </c>
      <c r="J11" s="31" t="inlineStr">
        <is>
          <t>控制台</t>
        </is>
      </c>
      <c r="K11" s="31" t="inlineStr">
        <is>
          <t>D3</t>
        </is>
      </c>
      <c r="L11" s="31" t="inlineStr">
        <is>
          <t>人员A</t>
        </is>
      </c>
      <c r="M11" s="31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31" t="inlineStr">
        <is>
          <t>10</t>
        </is>
      </c>
      <c r="B13" s="31" t="inlineStr">
        <is>
          <t>数据</t>
        </is>
      </c>
      <c r="C13" s="31" t="inlineStr">
        <is>
          <t>RDS 公网白名单</t>
        </is>
      </c>
      <c r="D13" s="31" t="inlineStr">
        <is>
          <t>—</t>
        </is>
      </c>
      <c r="E13" s="31" t="n">
        <v>1</v>
      </c>
      <c r="F13" s="31" t="inlineStr">
        <is>
          <t>—</t>
        </is>
      </c>
      <c r="G13" s="31" t="inlineStr">
        <is>
          <t>马尼拉 RDS</t>
        </is>
      </c>
      <c r="H13" s="31" t="inlineStr">
        <is>
          <t>仅加入新加坡 NAT EIP；仅开放 5432；应用侧 sslmode=verify-full + RDS CA 校验</t>
        </is>
      </c>
      <c r="I13" s="31" t="inlineStr">
        <is>
          <t>3,14(马尼拉)</t>
        </is>
      </c>
      <c r="J13" s="31" t="inlineStr">
        <is>
          <t>控制台</t>
        </is>
      </c>
      <c r="K13" s="31" t="inlineStr">
        <is>
          <t>D2</t>
        </is>
      </c>
      <c r="L13" s="31" t="inlineStr">
        <is>
          <t>人员B</t>
        </is>
      </c>
      <c r="M13" s="31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31" t="inlineStr">
        <is>
          <t>12</t>
        </is>
      </c>
      <c r="B15" s="31" t="inlineStr">
        <is>
          <t>日志</t>
        </is>
      </c>
      <c r="C15" s="31" t="inlineStr">
        <is>
          <t>云数据库 ClickHouse</t>
        </is>
      </c>
      <c r="D15" s="31" t="inlineStr">
        <is>
          <t>【不部署】并入马尼拉 ClickHouse 企业版单 AZ（F9）</t>
        </is>
      </c>
      <c r="E15" s="31" t="n">
        <v>1</v>
      </c>
      <c r="F15" s="31" t="inlineStr">
        <is>
          <t>ck-sg-newapi</t>
        </is>
      </c>
      <c r="G15" s="31" t="inlineStr">
        <is>
          <t>新加坡</t>
        </is>
      </c>
      <c r="H15" s="31" t="inlineStr">
        <is>
          <t>**【不部署】F9 修订：备 region 日志库并入马尼拉 ClickHouse 企业版单 AZ**，不再购买新加坡 CK</t>
        </is>
      </c>
      <c r="I15" s="31" t="inlineStr">
        <is>
          <t>1</t>
        </is>
      </c>
      <c r="J15" s="31" t="inlineStr">
        <is>
          <t>控制台</t>
        </is>
      </c>
      <c r="K15" s="31" t="inlineStr">
        <is>
          <t>D4</t>
        </is>
      </c>
      <c r="L15" s="31" t="inlineStr">
        <is>
          <t>人员B</t>
        </is>
      </c>
      <c r="M15" s="31" t="inlineStr">
        <is>
          <t>原「备 region 本地日志库」口径已作废（F9）；跨区写 CK 目前只有 VPC 端点、无公网端点 ⇒ 备站跨区写 CK 待裁定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14.25" customHeight="1" s="11">
      <c r="A17" s="31" t="inlineStr">
        <is>
          <t>14</t>
        </is>
      </c>
      <c r="B17" s="31" t="inlineStr">
        <is>
          <t>安全</t>
        </is>
      </c>
      <c r="C17" s="31" t="inlineStr">
        <is>
          <t>安全组</t>
        </is>
      </c>
      <c r="D17" s="31" t="inlineStr">
        <is>
          <t>—</t>
        </is>
      </c>
      <c r="E17" s="31" t="inlineStr">
        <is>
          <t>—</t>
        </is>
      </c>
      <c r="F17" s="31" t="inlineStr">
        <is>
          <t>sg-sg-alb / sg-sg-app</t>
        </is>
      </c>
      <c r="G17" s="31" t="inlineStr">
        <is>
          <t>新加坡</t>
        </is>
      </c>
      <c r="H17" s="31" t="inlineStr">
        <is>
          <t>alb 入向 80（443 待 G5）；app 入向 3000 仅来自 alb-sg；app 出向允许访问马尼拉 RDS **公网 6432（经托管池，2026-09-29 裁定② 乙路）**；跨区 TLS 用 verify-full + sslrootcert（Secret rds-ca-apse6 挂 /etc/ssl/rds）</t>
        </is>
      </c>
      <c r="I17" s="31" t="inlineStr">
        <is>
          <t>2,10</t>
        </is>
      </c>
      <c r="J17" s="31" t="inlineStr">
        <is>
          <t>控制台</t>
        </is>
      </c>
      <c r="K17" s="31" t="inlineStr">
        <is>
          <t>D3</t>
        </is>
      </c>
      <c r="L17" s="31" t="inlineStr">
        <is>
          <t>人员A</t>
        </is>
      </c>
      <c r="M17" s="31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replicas=2（常态，热备）；NODE_TYPE=slave；track=standby；site=ph；**Pod 内 SQL_MAX_OPEN_CONNS=10 / SQL_MAX_IDLE_CONNS=5（由 Deployment env 覆盖 CM 的 100/50，实测 env &gt; envFrom）**；HPA min 2 / max **20**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20 = 主站 maxReplicas 13 × 1.5（19.5 上取整）</t>
        </is>
      </c>
    </row>
    <row r="19" ht="14.25" customHeight="1" s="11">
      <c r="A19" s="31" t="inlineStr">
        <is>
          <t>16</t>
        </is>
      </c>
      <c r="B19" s="31" t="inlineStr">
        <is>
          <t>工作负载</t>
        </is>
      </c>
      <c r="C19" s="31" t="inlineStr">
        <is>
          <t>备 region Secret</t>
        </is>
      </c>
      <c r="D19" s="31" t="inlineStr">
        <is>
          <t>—</t>
        </is>
      </c>
      <c r="E19" s="31" t="n">
        <v>1</v>
      </c>
      <c r="F19" s="31" t="inlineStr">
        <is>
          <t>new-api-secret-sg-ph</t>
        </is>
      </c>
      <c r="G19" s="31" t="inlineStr">
        <is>
          <t>新加坡</t>
        </is>
      </c>
      <c r="H19" s="31" t="inlineStr">
        <is>
          <t>SQL_DSN 指向马尼拉 RDS 公网地址；SESSION_SECRET 与主站点完全一致</t>
        </is>
      </c>
      <c r="I19" s="31" t="inlineStr">
        <is>
          <t>20(马尼拉)</t>
        </is>
      </c>
      <c r="J19" s="31" t="inlineStr">
        <is>
          <t>GitOps</t>
        </is>
      </c>
      <c r="K19" s="31" t="inlineStr">
        <is>
          <t>D3</t>
        </is>
      </c>
      <c r="L19" s="31" t="inlineStr">
        <is>
          <t>人员B</t>
        </is>
      </c>
      <c r="M19" s="31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31" t="inlineStr">
        <is>
          <t>18</t>
        </is>
      </c>
      <c r="B21" s="31" t="inlineStr">
        <is>
          <t>观测</t>
        </is>
      </c>
      <c r="C21" s="31" t="inlineStr">
        <is>
          <t>备 region 链路拨测</t>
        </is>
      </c>
      <c r="D21" s="31" t="inlineStr">
        <is>
          <t>按量</t>
        </is>
      </c>
      <c r="E21" s="31" t="n">
        <v>1</v>
      </c>
      <c r="F21" s="31" t="inlineStr">
        <is>
          <t>—</t>
        </is>
      </c>
      <c r="G21" s="31" t="inlineStr">
        <is>
          <t>新加坡 → 马尼拉</t>
        </is>
      </c>
      <c r="H21" s="31" t="inlineStr">
        <is>
          <t>对马尼拉 RDS 公网地址做 TCP 拨测：RTT、连接失败率、连接数占比</t>
        </is>
      </c>
      <c r="I21" s="31" t="inlineStr">
        <is>
          <t>10</t>
        </is>
      </c>
      <c r="J21" s="31" t="inlineStr">
        <is>
          <t>控制台</t>
        </is>
      </c>
      <c r="K21" s="31" t="inlineStr">
        <is>
          <t>D4</t>
        </is>
      </c>
      <c r="L21" s="31" t="inlineStr">
        <is>
          <t>人员B</t>
        </is>
      </c>
      <c r="M21" s="31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节点池自动伸缩（ACK 托管弹性组件 ack-goatscaler）</t>
        </is>
      </c>
      <c r="D22" s="5" t="inlineStr">
        <is>
          <t>—</t>
        </is>
      </c>
      <c r="E22" s="5" t="n">
        <v>1</v>
      </c>
      <c r="F22" s="5" t="inlineStr">
        <is>
          <t>—（无独立资源；状态在 cm/kube-system/autoscaler-meta）</t>
        </is>
      </c>
      <c r="G22" s="5" t="inlineStr">
        <is>
          <t>新加坡</t>
        </is>
      </c>
      <c r="H22" s="5" t="inlineStr">
        <is>
          <t>min 2 / max 12（实况配额 96 vCPU）；支撑备 region 20 副本接管（40 vCPU 需求 + ≥20% 系统组件余量 ⇒ 容量下限 8 节点 / 64 vCPU）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实批按量配额 96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**20**；Pod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**13** × 1.5 = 19.5 → **20 副本**」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6" customHeight="1" s="11">
      <c r="A25" s="32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13 × 1.5 = 19.5 → **20 副本**（常备 2 副本 + HPA 2–20 + 节点池自动伸缩 2–12，实况配额 96 vCPU）。
【分期口径】本期新加坡仅承载 PH 备、不含泰国备；二期引入 TH 备时须重算节点池上限（两地同时接管需 48 副本 / 96 vCPU，含 ≥20% 余量即 ≥16 节点 / 128 vCPU）并重新申请配额。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27" workbookViewId="0">
      <selection activeCell="F25" sqref="F25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38.125" customWidth="1" style="11" min="5" max="5"/>
    <col width="50.125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vpc-newapi-mnl-prod 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vpc-newapi-sg-prod 10.1.0.0/16</t>
        </is>
      </c>
      <c r="E11" s="16" t="inlineStr">
        <is>
          <t>备 region 网络（数据库段已按偏移预留、未挂实例）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—；实测 vsw-t4ncxa4gqgamhl0o8e6yq / ap-southeast-1a / 可用 IP 251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表缺失本行（已补）；实测 vsw-t4nhtsfk2z79e1ggvlhdz / ap-southeast-1b / 可用 IP 252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—；实测 vsw-t4nbvsnvo4z52sumr9sck / ap-southeast-1a / 可用 IP 4073（已用 19，节点与 Pod 在此段）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个可用区；实测 vsw-t4n3dthz1ma6tp7bqor6h / ap-southeast-1b / 可用 IP 4084（已用 8）</t>
        </is>
      </c>
    </row>
    <row r="16" ht="14.25" customHeight="1" s="11">
      <c r="A16" s="17" t="inlineStr">
        <is>
          <t>新加坡</t>
        </is>
      </c>
      <c r="B16" s="17" t="inlineStr">
        <is>
          <t>可用区 C</t>
        </is>
      </c>
      <c r="C16" s="17" t="inlineStr">
        <is>
          <t>vSwitch</t>
        </is>
      </c>
      <c r="D16" s="17" t="inlineStr">
        <is>
          <t>vsw-sg-app-c 10.1.80.0/20</t>
        </is>
      </c>
      <c r="E16" s="16" t="inlineStr">
        <is>
          <t>PH 备 Pod</t>
        </is>
      </c>
      <c r="F16" s="16" t="inlineStr">
        <is>
          <t>2026-10-08 建成：vsw-t4n2e0pkpxymjxkwvcuu6 / ap-southeast-1c / Available / 可用 IP 4092（.80 槽位，尾部追加约定）</t>
        </is>
      </c>
    </row>
    <row r="17" ht="14.25" customHeight="1" s="11">
      <c r="A17" s="17" t="inlineStr">
        <is>
          <t>新加坡</t>
        </is>
      </c>
      <c r="B17" s="17" t="inlineStr">
        <is>
          <t>可用区 D</t>
        </is>
      </c>
      <c r="C17" s="17" t="inlineStr">
        <is>
          <t>vSwitch</t>
        </is>
      </c>
      <c r="D17" s="17" t="inlineStr">
        <is>
          <t>vsw-sg-app-d 10.1.96.0/20</t>
        </is>
      </c>
      <c r="E17" s="16" t="inlineStr">
        <is>
          <t>PH 备 Pod</t>
        </is>
      </c>
      <c r="F17" s="16" t="inlineStr">
        <is>
          <t>2026-10-08 建成：vsw-t4n4vw9aj22wyppbbec9w / ap-southeast-1d / Available / 可用 IP 4092</t>
        </is>
      </c>
    </row>
    <row r="18" ht="28.5" customHeight="1" s="11">
      <c r="A18" s="17" t="inlineStr">
        <is>
          <t>新加坡</t>
        </is>
      </c>
      <c r="B18" s="17" t="inlineStr">
        <is>
          <t>可用区 A</t>
        </is>
      </c>
      <c r="C18" s="17" t="inlineStr">
        <is>
          <t>vSwitch</t>
        </is>
      </c>
      <c r="D18" s="17" t="inlineStr">
        <is>
          <t>vsw-sg-data-a 10.1.48.0/20</t>
        </is>
      </c>
      <c r="E18" s="16" t="inlineStr">
        <is>
          <t>RDS / Tair 私有子网</t>
        </is>
      </c>
      <c r="F18" s="16" t="inlineStr">
        <is>
          <t>2026-09-30 按控制台实测补录（原表缺本行）：vsw-t4nr26kz6gceuz0jm4eqw / ap-southeast-1a / Available，可用 IP 4092 = 段内零实例，属预留段</t>
        </is>
      </c>
    </row>
    <row r="19" ht="28.5" customHeight="1" s="11">
      <c r="A19" s="17" t="inlineStr">
        <is>
          <t>新加坡</t>
        </is>
      </c>
      <c r="B19" s="17" t="inlineStr">
        <is>
          <t>可用区 B</t>
        </is>
      </c>
      <c r="C19" s="17" t="inlineStr">
        <is>
          <t>vSwitch</t>
        </is>
      </c>
      <c r="D19" s="17" t="inlineStr">
        <is>
          <t>vsw-sg-data-b 10.1.64.0/20</t>
        </is>
      </c>
      <c r="E19" s="16" t="inlineStr">
        <is>
          <t>RDS 备实例候选段</t>
        </is>
      </c>
      <c r="F19" s="16" t="inlineStr">
        <is>
          <t>同上实测补录：vsw-t4n58d6u3iws49o2xovdi / ap-southeast-1b / Available，可用 IP 4092 = 零实例；偏移与马尼拉 vsw-mnl-data-b 同槽</t>
        </is>
      </c>
    </row>
    <row r="20" ht="28.5" customHeight="1" s="11">
      <c r="A20" s="17" t="inlineStr">
        <is>
          <t>新加坡</t>
        </is>
      </c>
      <c r="B20" s="17" t="inlineStr">
        <is>
          <t>可用区 C</t>
        </is>
      </c>
      <c r="C20" s="17" t="inlineStr">
        <is>
          <t>vSwitch</t>
        </is>
      </c>
      <c r="D20" s="17" t="inlineStr">
        <is>
          <t>vsw-sg-data-c 10.1.112.0/20</t>
        </is>
      </c>
      <c r="E20" s="16" t="inlineStr">
        <is>
          <t>RDS / Tair 私有子网</t>
        </is>
      </c>
      <c r="F20" s="16" t="inlineStr">
        <is>
          <t>2026-10-08 建成：vsw-t4nvuo2yxtftipp8vo9rn / ap-southeast-1c / Available / 可用 IP 4092；暂不挂实例</t>
        </is>
      </c>
    </row>
    <row r="21" ht="28.5" customHeight="1" s="11">
      <c r="A21" s="17" t="inlineStr">
        <is>
          <t>新加坡</t>
        </is>
      </c>
      <c r="B21" s="17" t="inlineStr">
        <is>
          <t>可用区 D</t>
        </is>
      </c>
      <c r="C21" s="17" t="inlineStr">
        <is>
          <t>vSwitch</t>
        </is>
      </c>
      <c r="D21" s="17" t="inlineStr">
        <is>
          <t>vsw-sg-data-d 10.1.128.0/20</t>
        </is>
      </c>
      <c r="E21" s="16" t="inlineStr">
        <is>
          <t>RDS 备实例候选段</t>
        </is>
      </c>
      <c r="F21" s="16" t="inlineStr">
        <is>
          <t>2026-10-08 建成：vsw-t4nmsubaz3tim6vur8j0g / ap-southeast-1d / Available / 可用 IP 4092；暂不挂实例</t>
        </is>
      </c>
    </row>
    <row r="22" ht="28.5" customHeight="1" s="11">
      <c r="A22" s="17" t="inlineStr">
        <is>
          <t>雅加达 dev</t>
        </is>
      </c>
      <c r="B22" s="17" t="inlineStr">
        <is>
          <t>ap-southeast-5</t>
        </is>
      </c>
      <c r="C22" s="17" t="inlineStr">
        <is>
          <t>VPC CIDR</t>
        </is>
      </c>
      <c r="D22" s="17" t="inlineStr">
        <is>
          <t>vpc-newapi-jkt-dev 10.2.0.0/16</t>
        </is>
      </c>
      <c r="E22" s="16" t="inlineStr">
        <is>
          <t>dev/test 独立站点网络（环境隔离修订 方案 A）</t>
        </is>
      </c>
      <c r="F22" s="16" t="inlineStr">
        <is>
          <t>与马尼拉 10.0.0.0/16、新加坡 10.1.0.0/16 不重叠；vpc-k1ano67avx98nr3n1bg5d / Available；命名对齐生产形态 vpc-newapi-&lt;站点&gt;-&lt;环境&gt;</t>
        </is>
      </c>
    </row>
    <row r="23" ht="28.5" customHeight="1" s="11">
      <c r="A23" s="17" t="inlineStr">
        <is>
          <t>雅加达 dev</t>
        </is>
      </c>
      <c r="B23" s="17" t="inlineStr">
        <is>
          <t>可用区 5a</t>
        </is>
      </c>
      <c r="C23" s="17" t="inlineStr">
        <is>
          <t>vSwitch</t>
        </is>
      </c>
      <c r="D23" s="17" t="inlineStr">
        <is>
          <t>vsw-jkt-dev-pub-5a 10.2.0.0/24</t>
        </is>
      </c>
      <c r="E23" s="16" t="inlineStr">
        <is>
          <t>ALB 公共子网</t>
        </is>
      </c>
      <c r="F23" s="16" t="inlineStr">
        <is>
          <t>与马尼拉 vsw-mnl-pub-a、新加坡 vsw-sg-pub-a 同槽（.0/.1）；ALB 需跨 2 个可用区。2026-09-30 偏移对齐重建：vsw-k1at4vt7fg8v4umkh9lg3</t>
        </is>
      </c>
    </row>
    <row r="24" ht="28.5" customHeight="1" s="11">
      <c r="A24" s="17" t="inlineStr">
        <is>
          <t>雅加达 dev</t>
        </is>
      </c>
      <c r="B24" s="17" t="inlineStr">
        <is>
          <t>可用区 5b</t>
        </is>
      </c>
      <c r="C24" s="17" t="inlineStr">
        <is>
          <t>vSwitch</t>
        </is>
      </c>
      <c r="D24" s="17" t="inlineStr">
        <is>
          <t>vsw-jkt-dev-pub-5b 10.2.1.0/24</t>
        </is>
      </c>
      <c r="E24" s="16" t="inlineStr">
        <is>
          <t>ALB 公共子网</t>
        </is>
      </c>
      <c r="F24" s="16" t="inlineStr">
        <is>
          <t>第 2 可用区入口段。偏移对齐重建：vsw-k1aqa1ose29nuq92hcvyt</t>
        </is>
      </c>
    </row>
    <row r="25" ht="28.5" customHeight="1" s="11">
      <c r="A25" s="17" t="inlineStr">
        <is>
          <t>雅加达 dev</t>
        </is>
      </c>
      <c r="B25" s="17" t="inlineStr">
        <is>
          <t>可用区 5a</t>
        </is>
      </c>
      <c r="C25" s="17" t="inlineStr">
        <is>
          <t>vSwitch</t>
        </is>
      </c>
      <c r="D25" s="17" t="inlineStr">
        <is>
          <t>vsw-jkt-dev-app-5a 10.2.16.0/20</t>
        </is>
      </c>
      <c r="E25" s="16" t="inlineStr">
        <is>
          <t>ACK 节点子网</t>
        </is>
      </c>
      <c r="F25" s="16" t="inlineStr">
        <is>
          <t>Terway ENIIP 下 Pod IP 直接取自本段，整段必须进 dev RDS 白名单；与马尼拉 vsw-mnl-app-a 同槽。偏移对齐重建：vsw-k1agmhxtf974bmzbjlnkp</t>
        </is>
      </c>
    </row>
    <row r="26" ht="15" customHeight="1" s="11">
      <c r="A26" s="17" t="inlineStr">
        <is>
          <t>雅加达 dev</t>
        </is>
      </c>
      <c r="B26" s="17" t="inlineStr">
        <is>
          <t>可用区 5b</t>
        </is>
      </c>
      <c r="C26" s="17" t="inlineStr">
        <is>
          <t>vSwitch</t>
        </is>
      </c>
      <c r="D26" s="17" t="inlineStr">
        <is>
          <t>vsw-jkt-dev-app-5b 10.2.32.0/20</t>
        </is>
      </c>
      <c r="E26" s="16" t="inlineStr">
        <is>
          <t>ACK 节点子网</t>
        </is>
      </c>
      <c r="F26" s="16" t="inlineStr">
        <is>
          <t>节点池跨 2 个可用区（新加坡坑 A：AzBalance）；白名单来源段。偏移对齐重建：vsw-k1aoupd0er378rku728d3</t>
        </is>
      </c>
    </row>
    <row r="27" ht="14.25" customHeight="1" s="11">
      <c r="A27" s="17" t="inlineStr">
        <is>
          <t>雅加达 dev</t>
        </is>
      </c>
      <c r="B27" s="17" t="inlineStr">
        <is>
          <t>可用区 5c</t>
        </is>
      </c>
      <c r="C27" s="17" t="inlineStr">
        <is>
          <t>vSwitch</t>
        </is>
      </c>
      <c r="D27" s="17" t="inlineStr">
        <is>
          <t>vsw-jkt-dev-app-5c 10.2.80.0/20</t>
        </is>
      </c>
      <c r="E27" s="16" t="inlineStr">
        <is>
          <t>ACK 节点子网（第 3 可用区）</t>
        </is>
      </c>
      <c r="F27" s="16" t="inlineStr">
        <is>
          <t>第 3 可用区扩展段（雅加达实测 3 个 AZ，生产两站点仅 2 个，故统一追加在尾部）；白名单来源段。偏移对齐重建：vsw-k1an7x32b5qjtsmklelkt</t>
        </is>
      </c>
    </row>
    <row r="28" ht="28.5" customHeight="1" s="11">
      <c r="A28" s="17" t="inlineStr">
        <is>
          <t>雅加达 dev</t>
        </is>
      </c>
      <c r="B28" s="17" t="inlineStr">
        <is>
          <t>可用区 5a</t>
        </is>
      </c>
      <c r="C28" s="17" t="inlineStr">
        <is>
          <t>vSwitch</t>
        </is>
      </c>
      <c r="D28" s="17" t="inlineStr">
        <is>
          <t>vsw-jkt-dev-data-5a 10.2.48.0/20</t>
        </is>
      </c>
      <c r="E28" s="16" t="inlineStr">
        <is>
          <t>RDS / Tair 私有子网</t>
        </is>
      </c>
      <c r="F28" s="16" t="inlineStr">
        <is>
          <t>dev RDS PostgreSQL 17.0 主实例与 Tair 绑定此段，数据库不分配公网地址；与马尼拉 vsw-mnl-data-a 同槽，RDS DryRun 已按本段通过。偏移对齐重建：vsw-k1a9u8pkwwkc6z0x6g0kc</t>
        </is>
      </c>
    </row>
    <row r="29" ht="14.25" customHeight="1" s="11">
      <c r="A29" s="17" t="inlineStr">
        <is>
          <t>雅加达 dev</t>
        </is>
      </c>
      <c r="B29" s="17" t="inlineStr">
        <is>
          <t>可用区 5b</t>
        </is>
      </c>
      <c r="C29" s="17" t="inlineStr">
        <is>
          <t>vSwitch</t>
        </is>
      </c>
      <c r="D29" s="17" t="inlineStr">
        <is>
          <t>vsw-jkt-dev-data-5b 10.2.64.0/20</t>
        </is>
      </c>
      <c r="E29" s="16" t="inlineStr">
        <is>
          <t>RDS / Tair 私有子网</t>
        </is>
      </c>
      <c r="F29" s="16" t="inlineStr">
        <is>
          <t>多可用区/备实例候选段，主备跨 AZ 时用；与马尼拉 vsw-mnl-data-b 同槽。偏移对齐重建：vsw-k1auat3gn6iagfg7by4sz</t>
        </is>
      </c>
    </row>
    <row r="30" ht="14.25" customHeight="1" s="11">
      <c r="A30" s="18" t="inlineStr">
        <is>
          <t>EIP 规划（本次出口直出上游，不启用 GA；白名单 = 下列 8 个 EIP）</t>
        </is>
      </c>
    </row>
    <row r="31" ht="28.5" customHeight="1" s="11">
      <c r="A31" s="19" t="inlineStr">
        <is>
          <t>站点</t>
        </is>
      </c>
      <c r="B31" s="19" t="inlineStr">
        <is>
          <t>用途</t>
        </is>
      </c>
      <c r="C31" s="19" t="inlineStr">
        <is>
          <t>数量</t>
        </is>
      </c>
      <c r="D31" s="19" t="inlineStr">
        <is>
          <t>绑定对象</t>
        </is>
      </c>
      <c r="E31" s="19" t="inlineStr">
        <is>
          <t>说明</t>
        </is>
      </c>
      <c r="F31" s="19" t="inlineStr">
        <is>
          <t>备注</t>
        </is>
      </c>
    </row>
    <row r="32">
      <c r="A32" s="17" t="inlineStr">
        <is>
          <t>马尼拉</t>
        </is>
      </c>
      <c r="B32" s="17" t="inlineStr">
        <is>
          <t>上游出口白名单池</t>
        </is>
      </c>
      <c r="C32" s="17" t="n">
        <v>4</v>
      </c>
      <c r="D32" s="17" t="inlineStr">
        <is>
          <t>NAT 网关</t>
        </is>
      </c>
      <c r="E32" s="16" t="inlineStr">
        <is>
          <t>提交给 OpenAI / Anthropic / Google / Azure / AWS 等供应商做 IP 白名单（马尼拉 4 个 + 新加坡 4 个，共 8 个，须逐一确认生效）</t>
        </is>
      </c>
      <c r="F32" s="16" t="inlineStr">
        <is>
          <t>同一池用于上游白名单；本次不启用 GA（GA 为二期可选优化）</t>
        </is>
      </c>
    </row>
    <row r="33" ht="15" customHeight="1" s="11">
      <c r="A33" s="17" t="inlineStr">
        <is>
          <t>马尼拉</t>
        </is>
      </c>
      <c r="B33" s="17" t="inlineStr">
        <is>
          <t>ALB 公网地址</t>
        </is>
      </c>
      <c r="C33" s="17" t="n">
        <v>1</v>
      </c>
      <c r="D33" s="17" t="inlineStr">
        <is>
          <t>ALB</t>
        </is>
      </c>
      <c r="E33" s="16" t="inlineStr">
        <is>
          <t>由 ALB 自动分配，用于 GTM 地址池与 DNS 解析</t>
        </is>
      </c>
      <c r="F33" s="16" t="inlineStr">
        <is>
          <t>—</t>
        </is>
      </c>
    </row>
    <row r="34" ht="14.25" customHeight="1" s="11">
      <c r="A34" s="17" t="inlineStr">
        <is>
          <t>新加坡</t>
        </is>
      </c>
      <c r="B34" s="17" t="inlineStr">
        <is>
          <t>上游出口 + RDS 白名单池</t>
        </is>
      </c>
      <c r="C34" s="17" t="n">
        <v>4</v>
      </c>
      <c r="D34" s="17" t="inlineStr">
        <is>
          <t>NAT 网关</t>
        </is>
      </c>
      <c r="E34" s="16" t="inlineStr">
        <is>
          <t>既用于供应商白名单，也必须加入马尼拉 RDS 公网白名单</t>
        </is>
      </c>
      <c r="F34" s="16" t="inlineStr">
        <is>
          <t>仅放行该 EIP，禁止 0.0.0.0/0</t>
        </is>
      </c>
    </row>
    <row r="35" ht="42.75" customHeight="1" s="11">
      <c r="A35" s="17" t="inlineStr">
        <is>
          <t>雅加达 dev</t>
        </is>
      </c>
      <c r="B35" s="17" t="inlineStr">
        <is>
          <t>dev 出网（跨区拉镜像 / 上游 mock）</t>
        </is>
      </c>
      <c r="C35" s="17" t="inlineStr">
        <is>
          <t>1（已建）</t>
        </is>
      </c>
      <c r="D35" s="17" t="inlineStr">
        <is>
          <t>NAT 网关 + EIP</t>
        </is>
      </c>
      <c r="E35" s="16" t="inlineStr">
        <is>
          <t>已建成：NAT 网关 ngw-k1aij9gqb72y38kl31vd2（Enhanced，落 pub-5a vsw-k1at4vt7fg8v4umkh9lg3）+ EIP eip-k1ans4dqvvci8x4jx1fx3 = 147.139.170.11（5Mbps PayByTraffic）；SNAT 条目 snat-k1acb22kut2qkwgdx4iub 覆盖 10.2.0.0/16；默认路由 rte-k1akjm3rkrdd62p55brnn 0.0.0.0/0→NatGateway 由系统随 NAT 自动下发。节点内实测出网公网 IP 即该 EIP。</t>
        </is>
      </c>
      <c r="F35" s="16" t="inlineStr">
        <is>
          <t>禁止并入生产 8 个 EIP 的上游 / RDS 白名单池。NAT 上线使 10.2.0.0/16 首次获得公网可达性，生产 RDS 公网端点由「路由不可达」变为「仅靠安全组拦截」，故已把 43.118.96.65/32 的出向规则由 drop TCP 5432 收紧为 drop ALL（见下方安全组段）。</t>
        </is>
      </c>
    </row>
    <row r="36" ht="14.25" customHeight="1" s="11"/>
    <row r="37" ht="14.25" customHeight="1" s="11">
      <c r="A37" s="18" t="inlineStr">
        <is>
          <t>安全组规则（最小开放原则；入向禁止 0.0.0.0/0，仅放行 WAF / DCDN 回源段与对端 CIDR）</t>
        </is>
      </c>
    </row>
    <row r="38" ht="28.5" customHeight="1" s="11">
      <c r="A38" s="19" t="inlineStr">
        <is>
          <t>站点</t>
        </is>
      </c>
      <c r="B38" s="19" t="inlineStr">
        <is>
          <t>安全组</t>
        </is>
      </c>
      <c r="C38" s="19" t="inlineStr">
        <is>
          <t>方向</t>
        </is>
      </c>
      <c r="D38" s="19" t="inlineStr">
        <is>
          <t>协议 / 端口</t>
        </is>
      </c>
      <c r="E38" s="19" t="inlineStr">
        <is>
          <t>源 / 目的</t>
        </is>
      </c>
      <c r="F38" s="19" t="inlineStr">
        <is>
          <t>说明</t>
        </is>
      </c>
    </row>
    <row r="39" ht="42.75" customHeight="1" s="11">
      <c r="A39" s="17" t="inlineStr">
        <is>
          <t>马尼拉</t>
        </is>
      </c>
      <c r="B39" s="17" t="inlineStr">
        <is>
          <t>sg-mnl-alb</t>
        </is>
      </c>
      <c r="C39" s="17" t="inlineStr">
        <is>
          <t>入</t>
        </is>
      </c>
      <c r="D39" s="17" t="inlineStr">
        <is>
          <t>TCP 443 / 80</t>
        </is>
      </c>
      <c r="E39" s="16" t="inlineStr">
        <is>
          <t>实况（2026-10-06 裁定）：**保持 0.0.0.0/0 :80,443 不收敛**（WAF 3.0 走云原生接入，待任务 20）；原「仅放行 WAF/DCDN 回源段」的收敛方案不执行</t>
        </is>
      </c>
      <c r="F39" s="16" t="inlineStr">
        <is>
          <t>未匹配 Host 已由 Ingress/new-api-catchall-404 兜底 404（任务 47）；80 仅用于 301 跳转 HTTPS</t>
        </is>
      </c>
    </row>
    <row r="40" ht="28.5" customHeight="1" s="11">
      <c r="A40" s="17" t="inlineStr">
        <is>
          <t>马尼拉</t>
        </is>
      </c>
      <c r="B40" s="17" t="inlineStr">
        <is>
          <t>sg-mnl-app</t>
        </is>
      </c>
      <c r="C40" s="17" t="inlineStr">
        <is>
          <t>入</t>
        </is>
      </c>
      <c r="D40" s="17" t="inlineStr">
        <is>
          <t>TCP 3000</t>
        </is>
      </c>
      <c r="E40" s="16" t="inlineStr">
        <is>
          <t>sg-mnl-alb</t>
        </is>
      </c>
      <c r="F40" s="16" t="inlineStr">
        <is>
          <t>仅 ALB 可访问 Pod，禁止内网其他来源</t>
        </is>
      </c>
    </row>
    <row r="41" ht="23" customHeight="1" s="11">
      <c r="A41" s="17" t="inlineStr">
        <is>
          <t>马尼拉</t>
        </is>
      </c>
      <c r="B41" s="17" t="inlineStr">
        <is>
          <t>sg-mnl-app</t>
        </is>
      </c>
      <c r="C41" s="17" t="inlineStr">
        <is>
          <t>出</t>
        </is>
      </c>
      <c r="D41" s="17" t="inlineStr">
        <is>
          <t>TCP 5432 / 6379 / 9000</t>
        </is>
      </c>
      <c r="E41" s="16" t="inlineStr">
        <is>
          <t>sg-mnl-db</t>
        </is>
      </c>
      <c r="F41" s="16" t="inlineStr">
        <is>
          <t>访问 RDS、Tair、ClickHouse</t>
        </is>
      </c>
    </row>
    <row r="42" ht="28.5" customHeight="1" s="11">
      <c r="A42" s="17" t="inlineStr">
        <is>
          <t>马尼拉</t>
        </is>
      </c>
      <c r="B42" s="17" t="inlineStr">
        <is>
          <t>sg-mnl-app</t>
        </is>
      </c>
      <c r="C42" s="17" t="inlineStr">
        <is>
          <t>出</t>
        </is>
      </c>
      <c r="D42" s="17" t="inlineStr">
        <is>
          <t>TCP 443</t>
        </is>
      </c>
      <c r="E42" s="16" t="inlineStr">
        <is>
          <t>0.0.0.0/0 经 NAT 网关出网</t>
        </is>
      </c>
      <c r="F42" s="16" t="inlineStr">
        <is>
          <t>企业私有子网访问外部 AI 供应商的必要放通，风险由目的地址与出向限速约束</t>
        </is>
      </c>
    </row>
    <row r="43" ht="14.25" customHeight="1" s="11">
      <c r="A43" s="17" t="inlineStr">
        <is>
          <t>马尼拉</t>
        </is>
      </c>
      <c r="B43" s="17" t="inlineStr">
        <is>
          <t>sg-mnl-db</t>
        </is>
      </c>
      <c r="C43" s="17" t="inlineStr">
        <is>
          <t>入</t>
        </is>
      </c>
      <c r="D43" s="17" t="inlineStr">
        <is>
          <t>TCP 5432</t>
        </is>
      </c>
      <c r="E43" s="16" t="inlineStr">
        <is>
          <t>sg-mnl-app、10.1.0.0/16</t>
        </is>
      </c>
      <c r="F43" s="16" t="inlineStr">
        <is>
          <t>主站点走内网；备 region 跨 VPC 无法以安全组表达，实际生效源由 RDS 公网白名单二次收敛为新加坡 NAT EIP</t>
        </is>
      </c>
    </row>
    <row r="44" ht="28.5" customHeight="1" s="11">
      <c r="A44" s="27" t="inlineStr">
        <is>
          <t>马尼拉</t>
        </is>
      </c>
      <c r="B44" s="27" t="inlineStr">
        <is>
          <t>sg-mnl-alb-edge</t>
        </is>
      </c>
      <c r="C44" s="27" t="inlineStr">
        <is>
          <t>入</t>
        </is>
      </c>
      <c r="D44" s="27" t="inlineStr">
        <is>
          <t>TCP 22 / 443</t>
        </is>
      </c>
      <c r="E44" s="28" t="inlineStr">
        <is>
          <t>企业办公出口 IP 段</t>
        </is>
      </c>
      <c r="F44" s="28" t="inlineStr">
        <is>
          <t>堡垒机 / VPN 入口（运维访问面）；禁止 0.0.0.0/0</t>
        </is>
      </c>
    </row>
    <row r="45" ht="14.25" customHeight="1" s="11">
      <c r="A45" s="27" t="inlineStr">
        <is>
          <t>马尼拉</t>
        </is>
      </c>
      <c r="B45" s="27" t="inlineStr">
        <is>
          <t>sg-mnl-ack-api</t>
        </is>
      </c>
      <c r="C45" s="27" t="inlineStr">
        <is>
          <t>入</t>
        </is>
      </c>
      <c r="D45" s="27" t="inlineStr">
        <is>
          <t>TCP 6443</t>
        </is>
      </c>
      <c r="E45" s="28" t="inlineStr">
        <is>
          <t>企业办公出口 IP 段</t>
        </is>
      </c>
      <c r="F45" s="28" t="inlineStr">
        <is>
          <t>ACK API Server：关闭公网端点或加 ACL 白名单</t>
        </is>
      </c>
    </row>
    <row r="46" ht="28.5" customHeight="1" s="11">
      <c r="A46" s="17" t="inlineStr">
        <is>
          <t>新加坡</t>
        </is>
      </c>
      <c r="B46" s="17" t="inlineStr">
        <is>
          <t>sg-sg-alb</t>
        </is>
      </c>
      <c r="C46" s="17" t="inlineStr">
        <is>
          <t>入</t>
        </is>
      </c>
      <c r="D46" s="17" t="inlineStr">
        <is>
          <t>TCP 443 / 80</t>
        </is>
      </c>
      <c r="E46" s="16" t="inlineStr">
        <is>
          <t>WAF 回源 IP 段（新加坡）</t>
        </is>
      </c>
      <c r="F46" s="16" t="inlineStr">
        <is>
          <t>GTM 接管时的备 region 入口；与主站点一致，禁止 0.0.0.0/0</t>
        </is>
      </c>
    </row>
    <row r="47" ht="28.5" customHeight="1" s="11">
      <c r="A47" s="17" t="inlineStr">
        <is>
          <t>新加坡</t>
        </is>
      </c>
      <c r="B47" s="17" t="inlineStr">
        <is>
          <t>sg-sg-app</t>
        </is>
      </c>
      <c r="C47" s="17" t="inlineStr">
        <is>
          <t>入</t>
        </is>
      </c>
      <c r="D47" s="17" t="inlineStr">
        <is>
          <t>TCP 3000</t>
        </is>
      </c>
      <c r="E47" s="16" t="inlineStr">
        <is>
          <t>sg-sg-alb</t>
        </is>
      </c>
      <c r="F47" s="16" t="inlineStr">
        <is>
          <t>与主站点一致</t>
        </is>
      </c>
    </row>
    <row r="48" ht="28.5" customHeight="1" s="11">
      <c r="A48" s="17" t="inlineStr">
        <is>
          <t>新加坡</t>
        </is>
      </c>
      <c r="B48" s="17" t="inlineStr">
        <is>
          <t>sg-sg-app</t>
        </is>
      </c>
      <c r="C48" s="17" t="inlineStr">
        <is>
          <t>出</t>
        </is>
      </c>
      <c r="D48" s="17" t="inlineStr">
        <is>
          <t>TCP 5432</t>
        </is>
      </c>
      <c r="E48" s="16" t="inlineStr">
        <is>
          <t>马尼拉 RDS 公网 IP /32，**端口 6432（经托管池）**</t>
        </is>
      </c>
      <c r="F48" s="16" t="inlineStr">
        <is>
          <t>sg-sg-app 实测为 normal 类型、出向默认放行 ⇒ 无需额外写规则；仅接管期写入，强制 TLS verify-full</t>
        </is>
      </c>
    </row>
    <row r="49" ht="28.5" customHeight="1" s="11">
      <c r="A49" s="17" t="inlineStr">
        <is>
          <t>新加坡</t>
        </is>
      </c>
      <c r="B49" s="17" t="inlineStr">
        <is>
          <t>sg-sg-app</t>
        </is>
      </c>
      <c r="C49" s="17" t="inlineStr">
        <is>
          <t>出</t>
        </is>
      </c>
      <c r="D49" s="17" t="inlineStr">
        <is>
          <t>TCP 443</t>
        </is>
      </c>
      <c r="E49" s="16" t="inlineStr">
        <is>
          <t>0.0.0.0/0 经 NAT 网关出网</t>
        </is>
      </c>
      <c r="F49" s="16" t="inlineStr">
        <is>
          <t>接管期调用上游 AI 供应商</t>
        </is>
      </c>
    </row>
    <row r="50" ht="28.5" customHeight="1" s="11">
      <c r="A50" s="17" t="inlineStr">
        <is>
          <t>雅加达 dev</t>
        </is>
      </c>
      <c r="B50" s="17" t="inlineStr">
        <is>
          <t>sg-jkt-dev-app</t>
        </is>
      </c>
      <c r="C50" s="17" t="inlineStr">
        <is>
          <t>出</t>
        </is>
      </c>
      <c r="D50" s="17" t="inlineStr">
        <is>
          <t>drop ALL -1/-1（优先级 1）</t>
        </is>
      </c>
      <c r="E50" s="16" t="inlineStr">
        <is>
          <t>10.0.0.0/16（马尼拉生产 VPC）</t>
        </is>
      </c>
      <c r="F50" s="16" t="inlineStr">
        <is>
          <t>已生效：拒绝优先于 normal 安全组的默认全放通，dev 节点 / Pod 无法访问生产 VPC 内任意地址</t>
        </is>
      </c>
    </row>
    <row r="51" ht="28.5" customHeight="1" s="11">
      <c r="A51" s="17" t="inlineStr">
        <is>
          <t>雅加达 dev</t>
        </is>
      </c>
      <c r="B51" s="17" t="inlineStr">
        <is>
          <t>sg-jkt-dev-app</t>
        </is>
      </c>
      <c r="C51" s="17" t="inlineStr">
        <is>
          <t>出</t>
        </is>
      </c>
      <c r="D51" s="17" t="inlineStr">
        <is>
          <t>drop ALL -1/-1（优先级 1）</t>
        </is>
      </c>
      <c r="E51" s="16" t="inlineStr">
        <is>
          <t>10.1.0.0/16（新加坡备 VPC）</t>
        </is>
      </c>
      <c r="F51" s="16" t="inlineStr">
        <is>
          <t>已生效：同上，备 region 亦不可达；生产 apiserver 6443 / 10250 顺带被阻断（验收 V11）</t>
        </is>
      </c>
    </row>
    <row r="52">
      <c r="A52" s="17" t="inlineStr">
        <is>
          <t>雅加达 dev</t>
        </is>
      </c>
      <c r="B52" s="17" t="inlineStr">
        <is>
          <t>sg-jkt-dev-app</t>
        </is>
      </c>
      <c r="C52" s="17" t="inlineStr">
        <is>
          <t>出</t>
        </is>
      </c>
      <c r="D52" s="17" t="inlineStr">
        <is>
          <t>drop ALL -1/-1 + drop TCP 5432（优先级 1）</t>
        </is>
      </c>
      <c r="E52" s="16" t="inlineStr">
        <is>
          <t>43.118.96.65/32（生产 RDS 公网 IP）</t>
        </is>
      </c>
      <c r="F52" s="16" t="inlineStr">
        <is>
          <t>已生效：堵住 dev 直连生产库公网入口这条最现实的数据外泄路径（验收 V1 实测 BLOCKED）。2026-09-30 随 NAT 上线追加 drop ALL（覆盖全部端口），原 drop TCP 5432 保留作双保险；出向规则数由 7 条增至 8 条。</t>
        </is>
      </c>
    </row>
    <row r="53" ht="15" customHeight="1" s="11">
      <c r="A53" s="17" t="inlineStr">
        <is>
          <t>雅加达 dev</t>
        </is>
      </c>
      <c r="B53" s="17" t="inlineStr">
        <is>
          <t>sg-jkt-dev-app</t>
        </is>
      </c>
      <c r="C53" s="17" t="inlineStr">
        <is>
          <t>出</t>
        </is>
      </c>
      <c r="D53" s="17" t="inlineStr">
        <is>
          <t>accept TCP 443（优先级 10）</t>
        </is>
      </c>
      <c r="E53" s="16" t="inlineStr">
        <is>
          <t>0.0.0.0/0，经 dev 自有 NAT 出网</t>
        </is>
      </c>
      <c r="F53" s="16" t="inlineStr">
        <is>
          <t>已生效：跨区拉镜像与上游调用只放行 443，不做全协议放通；目的侧再由生产 ACL 二次收敛</t>
        </is>
      </c>
    </row>
    <row r="54" ht="14.25" customHeight="1" s="11">
      <c r="A54" s="17" t="inlineStr">
        <is>
          <t>雅加达 dev</t>
        </is>
      </c>
      <c r="B54" s="17" t="inlineStr">
        <is>
          <t>sg-jkt-dev-app</t>
        </is>
      </c>
      <c r="C54" s="17" t="inlineStr">
        <is>
          <t>出</t>
        </is>
      </c>
      <c r="D54" s="17" t="inlineStr">
        <is>
          <t>accept UDP 53（优先级 10 / 20）</t>
        </is>
      </c>
      <c r="E54" s="16" t="inlineStr">
        <is>
          <t>100.100.2.136/32、100.100.2.138/32，兜底 0.0.0.0/0</t>
        </is>
      </c>
      <c r="F54" s="16" t="inlineStr">
        <is>
          <t>已生效：VPC 内网 DNS 优先，ACR / RDS 等内网 endpoint 解析依赖此项</t>
        </is>
      </c>
    </row>
    <row r="55" ht="28.5" customHeight="1" s="11">
      <c r="A55" s="17" t="inlineStr">
        <is>
          <t>雅加达 dev</t>
        </is>
      </c>
      <c r="B55" s="17" t="inlineStr">
        <is>
          <t>sg-jkt-dev-app</t>
        </is>
      </c>
      <c r="C55" s="17" t="inlineStr">
        <is>
          <t>入</t>
        </is>
      </c>
      <c r="D55" s="17" t="inlineStr">
        <is>
          <t>无自定义规则（保持默认）</t>
        </is>
      </c>
      <c r="E55" s="16" t="inlineStr">
        <is>
          <t>—</t>
        </is>
      </c>
      <c r="F55" s="16" t="inlineStr">
        <is>
          <t>入向仅组内互通；生产侧安全组、生产 RDS 白名单、生产 ACR EE 公网 ACL 均未因本次改动（见 jakarta_dev_ledger §3）</t>
        </is>
      </c>
    </row>
    <row r="56" ht="14.25" customHeight="1" s="11"/>
    <row r="57" ht="42.75" customHeight="1" s="11">
      <c r="A57" s="18" t="inlineStr">
        <is>
          <t>凭据与密钥（2026-10-05 裁定不使用 KMS：手工 Opaque Secret 注入，禁止落库落 Git）</t>
        </is>
      </c>
    </row>
    <row r="58" ht="28.5" customHeight="1" s="11">
      <c r="A58" s="19" t="inlineStr">
        <is>
          <t>凭据</t>
        </is>
      </c>
      <c r="B58" s="19" t="inlineStr">
        <is>
          <t>载体</t>
        </is>
      </c>
      <c r="C58" s="19" t="inlineStr">
        <is>
          <t>使用方</t>
        </is>
      </c>
      <c r="D58" s="19" t="inlineStr">
        <is>
          <t>轮换周期</t>
        </is>
      </c>
      <c r="E58" s="19" t="inlineStr">
        <is>
          <t>说明</t>
        </is>
      </c>
      <c r="F58" s="19" t="inlineStr">
        <is>
          <t>备注</t>
        </is>
      </c>
    </row>
    <row r="59" ht="28.5" customHeight="1" s="11">
      <c r="A59" s="17" t="inlineStr">
        <is>
          <t>SQL_DSN</t>
        </is>
      </c>
      <c r="B59" s="17" t="inlineStr">
        <is>
          <t>K8s Opaque Secret（手工注入）</t>
        </is>
      </c>
      <c r="C59" s="17" t="inlineStr">
        <is>
          <t>马尼拉 / 新加坡备应用</t>
        </is>
      </c>
      <c r="D59" s="17" t="inlineStr">
        <is>
          <t>90 天</t>
        </is>
      </c>
      <c r="E59" s="16" t="inlineStr">
        <is>
          <t>含数据库账号密码；备 region 使用公网地址 + verify-full（SG 侧已切 verify-full + sslrootcert=/etc/ssl/rds/ca.crt）</t>
        </is>
      </c>
      <c r="F59" s="16" t="inlineStr">
        <is>
          <t>轮换需两站点同步；经 PgBouncer 时 DSN 指向池地址</t>
        </is>
      </c>
    </row>
    <row r="60">
      <c r="A60" s="17" t="inlineStr">
        <is>
          <t>REDIS_CONN_STRING</t>
        </is>
      </c>
      <c r="B60" s="17" t="inlineStr">
        <is>
          <t>K8s Opaque Secret（手工注入）</t>
        </is>
      </c>
      <c r="C60" s="17" t="inlineStr">
        <is>
          <t>马尼拉 / 新加坡备应用</t>
        </is>
      </c>
      <c r="D60" s="17" t="inlineStr">
        <is>
          <t>90 天</t>
        </is>
      </c>
      <c r="E60" s="16" t="inlineStr">
        <is>
          <t>Tair 连接串</t>
        </is>
      </c>
      <c r="F60" s="16" t="inlineStr">
        <is>
          <t>各站点使用各自实例</t>
        </is>
      </c>
    </row>
    <row r="61" ht="14.25" customHeight="1" s="11">
      <c r="A61" s="17" t="inlineStr">
        <is>
          <t>SESSION_SECRET</t>
        </is>
      </c>
      <c r="B61" s="17" t="inlineStr">
        <is>
          <t>K8s Opaque Secret（手工注入）</t>
        </is>
      </c>
      <c r="C61" s="17" t="inlineStr">
        <is>
          <t>全部站点</t>
        </is>
      </c>
      <c r="D61" s="17" t="inlineStr">
        <is>
          <t>180 天（双密钥过渡）</t>
        </is>
      </c>
      <c r="E61" s="16" t="inlineStr">
        <is>
          <t>必须全区域全实例一致</t>
        </is>
      </c>
      <c r="F61" s="16" t="inlineStr">
        <is>
          <t>不一致会导致切换后会话全部失效；必须支持新旧密钥并存过渡，否则轮换即全量会话失效（任务 #55）</t>
        </is>
      </c>
    </row>
    <row r="62" ht="42.75" customHeight="1" s="11">
      <c r="A62" s="17" t="inlineStr">
        <is>
          <t>RDS CA 证书（已落 Secret rds-ca-apse6）</t>
        </is>
      </c>
      <c r="B62" s="17" t="inlineStr">
        <is>
          <t>K8s Secret rds-ca-apse6 → 挂载 /etc/ssl/rds/ca.crt</t>
        </is>
      </c>
      <c r="C62" s="17" t="inlineStr">
        <is>
          <t>新加坡备 region</t>
        </is>
      </c>
      <c r="D62" s="17" t="inlineStr">
        <is>
          <t>随证书更新</t>
        </is>
      </c>
      <c r="E62" s="16" t="inlineStr">
        <is>
          <t>用于 sslmode=verify-full 校验</t>
        </is>
      </c>
      <c r="F62" s="16" t="inlineStr">
        <is>
          <t>禁止使用 require/disable</t>
        </is>
      </c>
    </row>
    <row r="63" ht="40.5" customHeight="1" s="11">
      <c r="A63" s="17" t="inlineStr">
        <is>
          <t>支付渠道密钥</t>
        </is>
      </c>
      <c r="B63" s="17" t="inlineStr">
        <is>
          <t>K8s Opaque Secret（手工注入）</t>
        </is>
      </c>
      <c r="C63" s="17" t="inlineStr">
        <is>
          <t>马尼拉应用</t>
        </is>
      </c>
      <c r="D63" s="17" t="inlineStr">
        <is>
          <t>按渠道要求</t>
        </is>
      </c>
      <c r="E63" s="16" t="inlineStr">
        <is>
          <t>支付回调与退款</t>
        </is>
      </c>
      <c r="F63" s="16" t="inlineStr">
        <is>
          <t>回调路径需在 WAF 放行，并限定支付渠道源 IP 段 + 强制签名校验</t>
        </is>
      </c>
    </row>
    <row r="65">
      <c r="A65" s="25" t="inlineStr">
        <is>
      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      </is>
      </c>
    </row>
    <row r="66">
      <c r="A66" s="25" t="inlineStr">
        <is>
          <t>说明：① 雅加达 dev 网络层（VPC + 7 个 vSwitch：pub×2 / app×3 / data×2 + sg-jkt-dev-app 出向规则）已于 2026-09-30 建成并复核，CIDR 偏移已与马尼拉/新加坡逐槽同构（pub=.0/.1、app=16/32、data=48/64，第 3 可用区追加在 10.2.80.0/20），全部资源属 rg-nonprod（rg-aek4hk3prqgqjcy），标签 env=dev / project=new-api / isolation=structural-vpc；② 隔离是结构性的：跨 VPC 不通 + 生产 RDS 公网 5432 出向拒绝 + 无 CEN / 无 VPC 对等连接（实测 DescribeCens=0、ListVpcPeerConnections=0）；namespace 只作组织与 RBAC 边界，不构成网络或数据边界；③ 尚未创建（待支出核准）：dev NAT/EIP、ACK 集群与节点池、dev RDS PG 17.0、Tair、工作负载；RDS 建库参数已用 DryRun 验证通过（SecurityIPList 仅含 app 三段 10.2.16.0/20、10.2.32.0/20、10.2.80.0/20，实例落在 data-5a 10.2.48.0/20；pub / data 段不加入白名单）。实测值与回滚命令见 deploy/jakarta_dev_ledger.md。</t>
        </is>
      </c>
    </row>
    <row r="67">
      <c r="A67" s="25" t="inlineStr">
        <is>
          <t>说明：② Phase 2 计算与数据层实测建成（2026-09-30 18:00–18:35 UTC+8，已产生费用）。ACK：集群 cb0abf5bc06034f7bbdb991752f6f3e62 / ack-newapi-jkt-dev，规格 ack.standard（基础版，集群管理费 0；生产用 ack.pro.small，Pro 约 0.6 USD/h，dev 用 Pro 会撑爆预算），版本 1.35.7-aliyun.1 与生产一致，Terway ENIIP、Service CIDR 172.23.0.0/20（马尼拉 172.21、新加坡 172.22 顺延，保持三站点同构）、ipvs、API Server 仅内网、删除保护已开。节点池 np-jkt-dev-app / npd3cc9d7f0503472f85420d30436269b5 / ESS asg-k1a59qtckc246wh9r3ay，min=1 max=3，机型 g9i/g8ine/g9ae.large，系统盘 cloud_essd 40G，按量，节点无公网 IP（出网走 NAT），无 SSH 密钥（运维入口用云助手）。RDS：pgm-d9j9p421lzx4gw73 / PostgreSQL 17.0 / pg.n2.2c.1m / 20G cloud_essd / Basic / 按量 / Running，落 data-5a vsw-k1a9u8pkwwkc6z0x6g0kc，内网 10.2.54.76:5432，仅 Private 端点未开公网，白名单只有 app 三段 10.2.16.0/20、10.2.32.0/20、10.2.80.0/20。⚠ 费用偏差：原估按 1 台节点，实测伸缩链路 0→1→3→2（autoscaler 因 coredns 跨可用区打散顶到 max，随后回收唯一空节点），稳态为 2 台 ≈132.82 USD/月，加 RDS 43.38 共 ≈176 USD/月 + NAT/EIP，比授权口径高约 66 USD/月；压回 1 台需把节点池收到单可用区（牺牲 AZ 冗余），待负责人定。另：余额 AvailableAmount 0.00 USD 下 EIP/NAT/ACK/RDS 全部下单成功，故 BSS 余额不能作为「能否开按量」的判据。</t>
        </is>
      </c>
    </row>
  </sheetData>
  <mergeCells count="7">
    <mergeCell ref="A66:F66"/>
    <mergeCell ref="A1:F1"/>
    <mergeCell ref="A37:F37"/>
    <mergeCell ref="A67:F67"/>
    <mergeCell ref="A30:F30"/>
    <mergeCell ref="A65:F65"/>
    <mergeCell ref="A57:F5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" activePane="bottomRight" state="frozen"/>
      <selection activeCell="A1" sqref="A1"/>
      <selection pane="topRight" activeCell="A1" sqref="A1"/>
      <selection pane="bottomLeft" activeCell="A1" sqref="A1"/>
      <selection pane="bottomRight" activeCell="A1" sqref="A1:X1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人时。（⚠ 现行工期口径 = 1 人 × 4 天 / 8 个执行窗口，见指南 §0.2–§0.4；本表 5 天 / 2 人 / 15 段为 v2.3 历史口径，保留供追溯）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7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未开始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7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未开始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手工保管私钥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7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证书已签发、私钥手工保管（不使用 KMS）、30 天到期告警生效</t>
        </is>
      </c>
      <c r="AC6" s="16" t="inlineStr">
        <is>
          <t>未开始（卡 G5 证书签发）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7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已完成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7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已完成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7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已完成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7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已完成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7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已完成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7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已完成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7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Running；**RRSA 已开启但不使用**（2026-10-05 裁定）；API Server 未暴露公网（newapi-master PUBLIC→PRIVATE 已复验）</t>
        </is>
      </c>
      <c r="AC13" s="16" t="inlineStr">
        <is>
          <t>已完成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4×（三机型 [g9i, g8ine, g9ae]，实得 g9ae.2xlarge，跨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7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已完成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7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已完成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7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已完成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7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已完成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7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已完成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创建双地域 ACR 企业版并打通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7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两站点均可从各自 VPC 域名拉取镜像</t>
        </is>
      </c>
      <c r="AC19" s="16" t="inlineStr">
        <is>
          <t>已完成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Secret（**手工 Opaque Secret 注入**；卡片合并预置与正式两段，3 人时）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7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Git，注入后应用可正常启动（⚠ 核验方法要换：正则 grep 实测命中 18 不可作门禁，改「按值比对 = 0」）</t>
        </is>
      </c>
      <c r="AC20" s="16" t="inlineStr">
        <is>
          <t>已完成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7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已完成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7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部分交付（超时 / 301 / 443 / 证书链 待 G5）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7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攻击场景被拦截；回调路径放行且源 IP 受限</t>
        </is>
      </c>
      <c r="AC23" s="16" t="inlineStr">
        <is>
          <t>未开始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7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7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已完成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7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生效。验收文字分两层：**AZ = `topologySpreadConstraints` 硬约束（`maxSkew 1` + `DoNotSchedule`，实测 6a/6b 各 2 满足）**；**节点 = `ScheduleAnyway` 软约束**（滚动后可两台 Pod 同落一台，非缺陷；要硬隔离须先扩节点池）。⚠ 另：HPA 缩容不经 Eviction API ⇒ PDB 拦不住自动缩容</t>
        </is>
      </c>
      <c r="AC26" s="16" t="inlineStr">
        <is>
          <t>部分交付（V4 阈值可达性与滚动期 5xx 未证）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7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已完成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7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部分交付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7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部分交付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7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未开始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7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部分交付（V4 会话互通阻塞于任务 25 的 SG ALB）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7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未开始（Trade_Not_Support_Async_Pay，余额 0）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7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已完成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7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7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7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7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7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7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7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7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7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7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未开始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7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已完成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配置主站 / 备 region 节点池自动伸缩（**ACK 托管弹性组件 ack-goatscaler**，非 cluster-autoscaler）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7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验收判据改：patch HPA `minReplicas=13` 制造真实 Pending 并观察是否自动出第 5 台（原「手动 scale 12」方法必然假阴性）</t>
        </is>
      </c>
      <c r="AC45" s="16" t="inlineStr">
        <is>
          <t>部分交付（配置完成、扩容动作未实测）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**4–13**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7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探针指向正确，**且 /readyz 必须免限流**（现 /api/status 被 GlobalAPIRateLimit 掐住）</t>
        </is>
      </c>
      <c r="AC46" s="16" t="inlineStr">
        <is>
          <t>未开始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**2–20** 落地 + 1.5× 接管容量验证（节点池实况 2–12 / 96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7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**20 副本**（= 主站 maxReplicas 13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7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未开始（Day2 仅最小三库冒烟）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7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已完成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7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ALB 入向仅放行 WAF/DCDN 回源段，直连公网 IP 不可达</t>
        </is>
      </c>
      <c r="AC50" s="16" t="inlineStr">
        <is>
          <t>部分交付（SNI / 443 待 G5）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7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7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7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7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7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未开始（顺延 T+14）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配置热更新跨节点收敛验证（SYNC_FREQUENCY=30）——**渠道热更新不在此判据内**（无 Redis 时路由每请求直查 DB）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7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**≤ 30 s（= SYNC_FREQUENCY，与节点数无关）** 内全节点收敛；跨 region 同样 ≤30 s</t>
        </is>
      </c>
      <c r="AC56" s="16" t="inlineStr">
        <is>
          <t>部分交付（渠道 / 改价端到端未执行）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7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已完成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7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7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n"/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未开始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 t="array" ref="B65"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提交资源配额工单（ECS vCPU / EIP / ALB / RDS / GTM；**托管 PgBouncer 无需单独配额**）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通配符证书申请（*.likha.hk，TLS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容量方案与配额确认（新加坡实批按量 96 vCPU、HPA 2–20、节点池自动伸缩 2–12；本期仅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13 × 1.5 = 19.5 → 20 副本」（容量下限 8 节点 / 64 vCPU，实况上限 12 节点 / 96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25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A2:I2"/>
    <mergeCell ref="A83:AD83"/>
    <mergeCell ref="J2:L2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1" operator="equal" dxfId="0">
      <formula>"■■"</formula>
    </cfRule>
  </conditionalFormatting>
  <conditionalFormatting sqref="J63:X64">
    <cfRule type="cellIs" priority="2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4" workbookViewId="0">
      <selection activeCell="A1" sqref="A1:H1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26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8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8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未开始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8">
        <f>说明与总览!$B$21+B6</f>
        <v/>
      </c>
      <c r="D6" s="5" t="inlineStr">
        <is>
          <t>节点池实得 4×ecs.g9ae.2xlarge 跨 2 AZ Ready（三机型列表 [g9i, g8ine, g9ae]）、Namespace/ConfigMap/Secret（**手工 Opaque Secret；不使用 KMS/RRSA/ExternalSecret**）就绪、master Deployment 迁移幂等（连续两次结果一致）、马尼拉 ALB + 健康检查就绪、RDS 内置托管 PgBouncer 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未开始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8">
        <f>说明与总览!$B$21+B7</f>
        <v/>
      </c>
      <c r="D7" s="5" t="inlineStr">
        <is>
          <t>stable 4 副本跨 AZ Ready（PDB 70% + HPA 4–13 + Pod 反亲和）、canary Deployment 就绪、PH 备 Deployment/Service 就绪（⚠ 2026-10-06 实况：V4 会话互通阻塞于 SG ALB ⇒ 记为**部分交付**）、新加坡 ACK 集群与节点池创建完成、GTM 实例/地址池/健康探测生效（先只挂马尼拉）、安全组与数据库白名单逐条核对通过、staging/perf 环境跑通最小三数据库冒烟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未开始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8">
        <f>说明与总览!$B$21+B8</f>
        <v/>
      </c>
      <c r="D8" s="5" t="inlineStr">
        <is>
      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QPS）、**ack-goatscaler 配置就绪（扩节点动作未实测）**、新加坡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</t>
        </is>
      </c>
      <c r="H8" s="5" t="inlineStr">
        <is>
          <t>阻断线：RTT &gt; 100 ms 或连接失败率 &gt; 0.1%（5 分钟滑动窗口）时暂不挂入 GTM；接管容量 = 主站 maxReplicas **13 × 1.5 = 19.5 → 20 副本**（HPA 2–20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8">
        <f>说明与总览!$B$21+B9</f>
        <v/>
      </c>
      <c r="D9" s="5" t="inlineStr">
        <is>
          <t>主站 HPA **4–13** 与备 region HPA **2–20**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13 × 1.5 = 19.5 → 20 副本」，M4 与 SLA 不达标</t>
        </is>
      </c>
      <c r="C14" s="5" t="inlineStr">
        <is>
          <t>与主站点配额分开申请并在 T-3 前跟进；未批复时按 HPA max 12 副本（而非 20）交付并书面记录 SLA 降级——节点池实况上限 12 节点 / 96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接受（本期不加第 3 人）；触发时按工期裁剪预案降级交付范围兜底</t>
        </is>
      </c>
      <c r="H16" s="5" t="inlineStr">
        <is>
          <t>A 负责网络/接入，B 负责数据/应用；5 天口径下缓冲由 31 人时降至 7 人时。决策留痕（2026-09-24）：不增加第 3 人，7 人时缓冲的剩余风险由裁剪预案与 A/B 互备兜底。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**RDS 内置托管 PgBouncer（不自建，无 3 副本 + PDB 形态）**；应用侧自动重连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0–3 天（窗口保留为已决策，不因假期额外顺延；超出部分由裁剪预案吸收）</t>
        </is>
      </c>
      <c r="H28" s="5" t="inlineStr">
        <is>
      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的容量配额仍必须保留，否则无法扩容到 1.5× 接管容量（**20 副本 = 40 vCPU，容量下限 8 节点 / 64 vCPU**）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2026-09-30T16:55:00Z</dcterms:created>
  <dcterms:modified xsi:type="dcterms:W3CDTF">2026-10-08T07:49:13Z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1F97EB876F54464A9F5CF8BD18A2BD38</vt:lpwstr>
  </property>
  <property name="KSOProductBuildVer" fmtid="{D5CDD505-2E9C-101B-9397-08002B2CF9AE}" pid="3">
    <vt:lpwstr>2052-11.1.0.12650</vt:lpwstr>
  </property>
</Properties>
</file>