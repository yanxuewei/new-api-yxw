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说明与总览" sheetId="1" state="visible" r:id="rId1"/>
    <sheet name="账号与域名申请" sheetId="2" state="visible" r:id="rId2"/>
    <sheet name="资源清单-马尼拉" sheetId="3" state="visible" r:id="rId3"/>
    <sheet name="资源清单-新加坡" sheetId="4" state="visible" r:id="rId4"/>
    <sheet name="网络与安全规划" sheetId="5" state="visible" r:id="rId5"/>
    <sheet name="落地计划" sheetId="6" state="visible" r:id="rId6"/>
    <sheet name="里程碑与验收" sheetId="7" state="visible" r:id="rId7"/>
  </sheets>
  <definedNames>
    <definedName name="_xlnm._FilterDatabase" localSheetId="1" hidden="1">'账号与域名申请'!$A$3:$K$22</definedName>
    <definedName name="_xlnm._FilterDatabase" localSheetId="2" hidden="1">'资源清单-马尼拉'!$A$3:$M$32</definedName>
    <definedName name="_xlnm._FilterDatabase" localSheetId="3" hidden="1">'资源清单-新加坡'!$A$3:$M$21</definedName>
  </definedNames>
  <calcPr calcId="144525" fullCalcOnLoad="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"/>
    <numFmt numFmtId="166" formatCode="yyyy-mm-dd"/>
    <numFmt numFmtId="167" formatCode="_ &quot;￥&quot;* #,##0.00_ ;_ &quot;￥&quot;* \-#,##0.00_ ;_ &quot;￥&quot;* &quot;-&quot;??_ ;_ @_ "/>
    <numFmt numFmtId="168" formatCode="_ * #,##0_ ;_ * \-#,##0_ ;_ * &quot;-&quot;_ ;_ @_ "/>
    <numFmt numFmtId="169" formatCode="_ &quot;￥&quot;* #,##0_ ;_ &quot;￥&quot;* \-#,##0_ ;_ &quot;￥&quot;* &quot;-&quot;_ ;_ @_ "/>
    <numFmt numFmtId="170" formatCode="_ * #,##0.00_ ;_ * \-#,##0.00_ ;_ * &quot;-&quot;??_ ;_ @_ "/>
  </numFmts>
  <fonts count="42">
    <font>
      <name val="宋体"/>
      <charset val="134"/>
      <color theme="1"/>
      <sz val="11"/>
      <scheme val="minor"/>
    </font>
    <font>
      <name val="等线"/>
      <charset val="134"/>
      <color rgb="FF175CEB"/>
      <sz val="10"/>
      <u val="single"/>
      <scheme val="minor"/>
    </font>
    <font>
      <name val="Segoe UI Symbol"/>
      <family val="2"/>
      <color rgb="FF000000"/>
      <sz val="10"/>
    </font>
    <font>
      <name val="Microsoft YaHei"/>
      <charset val="134"/>
      <b val="1"/>
      <color rgb="FF1F4E79"/>
      <sz val="14"/>
    </font>
    <font>
      <name val="Microsoft YaHei"/>
      <charset val="134"/>
      <b val="1"/>
      <color rgb="FF1F4E79"/>
      <sz val="11"/>
    </font>
    <font>
      <name val="Microsoft YaHei"/>
      <charset val="134"/>
      <b val="1"/>
      <sz val="9"/>
    </font>
    <font>
      <name val="Microsoft YaHei"/>
      <charset val="134"/>
      <sz val="9"/>
    </font>
    <font>
      <name val="Microsoft YaHei"/>
      <charset val="134"/>
      <b val="1"/>
      <color rgb="FFFFFFFF"/>
      <sz val="9"/>
    </font>
    <font>
      <name val="Microsoft YaHei"/>
      <charset val="134"/>
      <i val="1"/>
      <color rgb="FF808080"/>
      <sz val="9"/>
    </font>
    <font>
      <name val="Microsoft YaHei"/>
      <charset val="134"/>
      <b val="1"/>
      <color rgb="FFC00000"/>
      <sz val="9"/>
    </font>
    <font>
      <name val="Microsoft YaHei"/>
      <charset val="134"/>
      <b val="1"/>
      <color rgb="FF833C00"/>
      <sz val="9"/>
    </font>
    <font>
      <b val="1"/>
      <color rgb="FFFFFFFF"/>
    </font>
    <font>
      <name val="宋体"/>
      <charset val="134"/>
      <color theme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Microsoft YaHei"/>
      <b val="1"/>
      <color rgb="FF1F4E79"/>
      <sz val="13"/>
    </font>
    <font>
      <name val="Microsoft YaHei"/>
      <b val="1"/>
      <color rgb="FF1F4E79"/>
      <sz val="11"/>
    </font>
    <font>
      <name val="Microsoft YaHei"/>
      <b val="1"/>
      <sz val="9"/>
    </font>
    <font>
      <name val="Microsoft YaHei"/>
      <sz val="9"/>
    </font>
    <font>
      <name val="Microsoft YaHei"/>
      <b val="1"/>
      <color rgb="FF833C00"/>
      <sz val="9"/>
    </font>
    <font>
      <name val="Microsoft YaHei"/>
      <i val="1"/>
      <sz val="8"/>
    </font>
    <font>
      <name val="Microsoft YaHei"/>
      <b val="1"/>
      <color rgb="FFFFFFFF"/>
      <sz val="9"/>
    </font>
    <font>
      <name val="Microsoft YaHei"/>
      <b val="1"/>
      <color rgb="FFC00000"/>
      <sz val="9"/>
    </font>
    <font>
      <name val="Microsoft YaHei"/>
      <b val="1"/>
      <color rgb="FF1F4E79"/>
      <sz val="12"/>
    </font>
    <font>
      <name val="Microsoft YaHei"/>
      <b val="1"/>
      <color rgb="FF1F4E79"/>
      <sz val="8"/>
    </font>
  </fonts>
  <fills count="47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D8D8D8"/>
      </patternFill>
    </fill>
    <fill>
      <patternFill patternType="solid">
        <fgColor rgb="FFFFFF00"/>
      </patternFill>
    </fill>
    <fill>
      <patternFill patternType="solid">
        <fgColor rgb="FF4472C4"/>
      </patternFill>
    </fill>
    <fill>
      <patternFill/>
    </fill>
    <fill>
      <patternFill patternType="solid">
        <fgColor theme="4" tint="0.79998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9" tint="0.39997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2"/>
        <bgColor indexed="64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FFF2CC"/>
        <bgColor rgb="FFFFF2CC"/>
      </patternFill>
    </fill>
    <fill>
      <patternFill patternType="solid">
        <fgColor rgb="FF1F4E79"/>
        <bgColor rgb="FF1F4E79"/>
      </patternFill>
    </fill>
  </fills>
  <borders count="1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49">
    <xf numFmtId="0" fontId="12" fillId="11" borderId="2"/>
    <xf numFmtId="0" fontId="13" fillId="12" borderId="2" applyAlignment="1">
      <alignment vertical="center"/>
    </xf>
    <xf numFmtId="0" fontId="14" fillId="13" borderId="2" applyAlignment="1">
      <alignment vertical="center"/>
    </xf>
    <xf numFmtId="0" fontId="15" fillId="14" borderId="2" applyAlignment="1">
      <alignment vertical="center"/>
    </xf>
    <xf numFmtId="0" fontId="16" fillId="15" borderId="2" applyAlignment="1">
      <alignment vertical="center"/>
    </xf>
    <xf numFmtId="0" fontId="17" fillId="11" borderId="3" applyAlignment="1">
      <alignment vertical="center"/>
    </xf>
    <xf numFmtId="0" fontId="18" fillId="11" borderId="4" applyAlignment="1">
      <alignment vertical="center"/>
    </xf>
    <xf numFmtId="0" fontId="14" fillId="16" borderId="2" applyAlignment="1">
      <alignment vertical="center"/>
    </xf>
    <xf numFmtId="0" fontId="13" fillId="17" borderId="2" applyAlignment="1">
      <alignment vertical="center"/>
    </xf>
    <xf numFmtId="0" fontId="19" fillId="18" borderId="5" applyAlignment="1">
      <alignment vertical="center"/>
    </xf>
    <xf numFmtId="0" fontId="20" fillId="19" borderId="6" applyAlignment="1">
      <alignment vertical="center"/>
    </xf>
    <xf numFmtId="0" fontId="21" fillId="19" borderId="7" applyAlignment="1">
      <alignment vertical="center"/>
    </xf>
    <xf numFmtId="0" fontId="22" fillId="11" borderId="8" applyAlignment="1">
      <alignment vertical="center"/>
    </xf>
    <xf numFmtId="0" fontId="14" fillId="20" borderId="2" applyAlignment="1">
      <alignment vertical="center"/>
    </xf>
    <xf numFmtId="0" fontId="14" fillId="21" borderId="2" applyAlignment="1">
      <alignment vertical="center"/>
    </xf>
    <xf numFmtId="0" fontId="22" fillId="11" borderId="2" applyAlignment="1">
      <alignment vertical="center"/>
    </xf>
    <xf numFmtId="0" fontId="14" fillId="22" borderId="2" applyAlignment="1">
      <alignment vertical="center"/>
    </xf>
    <xf numFmtId="0" fontId="14" fillId="23" borderId="2" applyAlignment="1">
      <alignment vertical="center"/>
    </xf>
    <xf numFmtId="167" fontId="12" fillId="11" borderId="2" applyAlignment="1">
      <alignment vertical="center"/>
    </xf>
    <xf numFmtId="0" fontId="13" fillId="24" borderId="2" applyAlignment="1">
      <alignment vertical="center"/>
    </xf>
    <xf numFmtId="9" fontId="12" fillId="11" borderId="2" applyAlignment="1">
      <alignment vertical="center"/>
    </xf>
    <xf numFmtId="0" fontId="23" fillId="11" borderId="2" applyAlignment="1">
      <alignment vertical="center"/>
    </xf>
    <xf numFmtId="0" fontId="13" fillId="25" borderId="2" applyAlignment="1">
      <alignment vertical="center"/>
    </xf>
    <xf numFmtId="0" fontId="13" fillId="26" borderId="2" applyAlignment="1">
      <alignment vertical="center"/>
    </xf>
    <xf numFmtId="168" fontId="12" fillId="11" borderId="2" applyAlignment="1">
      <alignment vertical="center"/>
    </xf>
    <xf numFmtId="0" fontId="13" fillId="27" borderId="2" applyAlignment="1">
      <alignment vertical="center"/>
    </xf>
    <xf numFmtId="0" fontId="13" fillId="28" borderId="2" applyAlignment="1">
      <alignment vertical="center"/>
    </xf>
    <xf numFmtId="0" fontId="13" fillId="29" borderId="2" applyAlignment="1">
      <alignment vertical="center"/>
    </xf>
    <xf numFmtId="0" fontId="14" fillId="30" borderId="2" applyAlignment="1">
      <alignment vertical="center"/>
    </xf>
    <xf numFmtId="0" fontId="24" fillId="11" borderId="2" applyAlignment="1">
      <alignment vertical="center"/>
    </xf>
    <xf numFmtId="0" fontId="14" fillId="31" borderId="2" applyAlignment="1">
      <alignment vertical="center"/>
    </xf>
    <xf numFmtId="0" fontId="25" fillId="11" borderId="2" applyAlignment="1">
      <alignment vertical="center"/>
    </xf>
    <xf numFmtId="0" fontId="14" fillId="32" borderId="2" applyAlignment="1">
      <alignment vertical="center"/>
    </xf>
    <xf numFmtId="0" fontId="13" fillId="33" borderId="2" applyAlignment="1">
      <alignment vertical="center"/>
    </xf>
    <xf numFmtId="0" fontId="14" fillId="34" borderId="2" applyAlignment="1">
      <alignment vertical="center"/>
    </xf>
    <xf numFmtId="0" fontId="26" fillId="11" borderId="2" applyAlignment="1">
      <alignment vertical="center"/>
    </xf>
    <xf numFmtId="0" fontId="13" fillId="35" borderId="2" applyAlignment="1">
      <alignment vertical="center"/>
    </xf>
    <xf numFmtId="0" fontId="12" fillId="36" borderId="9" applyAlignment="1">
      <alignment vertical="center"/>
    </xf>
    <xf numFmtId="0" fontId="27" fillId="37" borderId="2" applyAlignment="1">
      <alignment vertical="center"/>
    </xf>
    <xf numFmtId="0" fontId="13" fillId="38" borderId="2" applyAlignment="1">
      <alignment vertical="center"/>
    </xf>
    <xf numFmtId="169" fontId="12" fillId="11" borderId="2" applyAlignment="1">
      <alignment vertical="center"/>
    </xf>
    <xf numFmtId="0" fontId="14" fillId="39" borderId="2" applyAlignment="1">
      <alignment vertical="center"/>
    </xf>
    <xf numFmtId="170" fontId="12" fillId="11" borderId="2" applyAlignment="1">
      <alignment vertical="center"/>
    </xf>
    <xf numFmtId="0" fontId="14" fillId="40" borderId="2" applyAlignment="1">
      <alignment vertical="center"/>
    </xf>
    <xf numFmtId="0" fontId="28" fillId="41" borderId="6" applyAlignment="1">
      <alignment vertical="center"/>
    </xf>
    <xf numFmtId="0" fontId="13" fillId="42" borderId="2" applyAlignment="1">
      <alignment vertical="center"/>
    </xf>
    <xf numFmtId="0" fontId="29" fillId="11" borderId="2" applyAlignment="1">
      <alignment vertical="center"/>
    </xf>
    <xf numFmtId="0" fontId="30" fillId="11" borderId="10" applyAlignment="1">
      <alignment vertical="center"/>
    </xf>
    <xf numFmtId="0" fontId="31" fillId="11" borderId="10" applyAlignment="1">
      <alignment vertical="center"/>
    </xf>
  </cellStyleXfs>
  <cellXfs count="8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3" fillId="0" borderId="2" pivotButton="0" quotePrefix="0" xfId="0"/>
    <xf numFmtId="0" fontId="4" fillId="2" borderId="2" pivotButton="0" quotePrefix="0" xfId="0"/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4" fillId="2" borderId="2" applyAlignment="1" pivotButton="0" quotePrefix="0" xfId="0">
      <alignment vertical="center"/>
    </xf>
    <xf numFmtId="0" fontId="7" fillId="4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9" fillId="0" borderId="2" pivotButton="0" quotePrefix="0" xfId="0"/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6" fillId="6" borderId="1" applyAlignment="1" pivotButton="0" quotePrefix="0" xfId="0">
      <alignment horizontal="center" vertical="center" wrapText="1"/>
    </xf>
    <xf numFmtId="165" fontId="6" fillId="6" borderId="1" applyAlignment="1" pivotButton="0" quotePrefix="0" xfId="0">
      <alignment horizontal="center" vertical="center" wrapText="1"/>
    </xf>
    <xf numFmtId="0" fontId="5" fillId="0" borderId="2" pivotButton="0" quotePrefix="0" xfId="0"/>
    <xf numFmtId="0" fontId="5" fillId="0" borderId="2" applyAlignment="1" pivotButton="0" quotePrefix="0" xfId="0">
      <alignment horizontal="center" vertical="center" wrapText="1"/>
    </xf>
    <xf numFmtId="0" fontId="12" fillId="0" borderId="1" pivotButton="0" quotePrefix="0" xfId="0"/>
    <xf numFmtId="0" fontId="10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11" fillId="10" borderId="0" pivotButton="0" quotePrefix="0" xfId="0"/>
    <xf numFmtId="0" fontId="32" fillId="0" borderId="0" applyAlignment="1" pivotButton="0" quotePrefix="0" xfId="0">
      <alignment vertical="center"/>
    </xf>
    <xf numFmtId="0" fontId="33" fillId="43" borderId="0" applyAlignment="1" pivotButton="0" quotePrefix="0" xfId="0">
      <alignment vertical="center"/>
    </xf>
    <xf numFmtId="0" fontId="34" fillId="0" borderId="15" applyAlignment="1" pivotButton="0" quotePrefix="0" xfId="0">
      <alignment horizontal="left" vertical="top" wrapText="1"/>
    </xf>
    <xf numFmtId="0" fontId="35" fillId="0" borderId="15" applyAlignment="1" pivotButton="0" quotePrefix="0" xfId="0">
      <alignment horizontal="left" vertical="top" wrapText="1"/>
    </xf>
    <xf numFmtId="0" fontId="36" fillId="44" borderId="15" applyAlignment="1" pivotButton="0" quotePrefix="0" xfId="0">
      <alignment horizontal="center" vertical="center" wrapText="1"/>
    </xf>
    <xf numFmtId="0" fontId="35" fillId="45" borderId="15" applyAlignment="1" pivotButton="0" quotePrefix="0" xfId="0">
      <alignment horizontal="left" vertical="top" wrapText="1"/>
    </xf>
    <xf numFmtId="0" fontId="37" fillId="0" borderId="15" applyAlignment="1" pivotButton="0" quotePrefix="0" xfId="0">
      <alignment horizontal="left" vertical="top" wrapText="1"/>
    </xf>
    <xf numFmtId="0" fontId="0" fillId="0" borderId="14" pivotButton="0" quotePrefix="0" xfId="0"/>
    <xf numFmtId="0" fontId="3" fillId="0" borderId="2" pivotButton="0" quotePrefix="0" xfId="0"/>
    <xf numFmtId="0" fontId="7" fillId="4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9" borderId="1" applyAlignment="1" pivotButton="0" quotePrefix="0" xfId="0">
      <alignment vertical="top" wrapText="1"/>
    </xf>
    <xf numFmtId="0" fontId="9" fillId="0" borderId="2" pivotButton="0" quotePrefix="0" xfId="0"/>
    <xf numFmtId="0" fontId="35" fillId="0" borderId="15" applyAlignment="1" pivotButton="0" quotePrefix="0" xfId="0">
      <alignment horizontal="center" vertical="center" wrapText="1"/>
    </xf>
    <xf numFmtId="0" fontId="4" fillId="2" borderId="2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164" fontId="6" fillId="6" borderId="1" applyAlignment="1" pivotButton="0" quotePrefix="0" xfId="0">
      <alignment horizontal="center" vertical="center" wrapText="1"/>
    </xf>
    <xf numFmtId="165" fontId="6" fillId="6" borderId="1" applyAlignment="1" pivotButton="0" quotePrefix="0" xfId="0">
      <alignment horizontal="center" vertical="center" wrapText="1"/>
    </xf>
    <xf numFmtId="0" fontId="5" fillId="0" borderId="2" pivotButton="0" quotePrefix="0" xfId="0"/>
    <xf numFmtId="0" fontId="5" fillId="0" borderId="2" applyAlignment="1" pivotButton="0" quotePrefix="0" xfId="0">
      <alignment horizontal="center" vertical="center" wrapText="1"/>
    </xf>
    <xf numFmtId="0" fontId="0" fillId="0" borderId="13" pivotButton="0" quotePrefix="0" xfId="0"/>
    <xf numFmtId="0" fontId="10" fillId="3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6" fillId="7" borderId="1" applyAlignment="1" pivotButton="0" quotePrefix="0" xfId="0">
      <alignment vertical="top" wrapText="1"/>
    </xf>
    <xf numFmtId="0" fontId="38" fillId="46" borderId="15" applyAlignment="1" pivotButton="0" quotePrefix="0" xfId="0">
      <alignment horizontal="center" vertical="center" wrapText="1"/>
    </xf>
    <xf numFmtId="0" fontId="34" fillId="0" borderId="15" applyAlignment="1" pivotButton="0" quotePrefix="0" xfId="0">
      <alignment horizontal="center" vertical="center" wrapText="1"/>
    </xf>
    <xf numFmtId="166" fontId="35" fillId="0" borderId="15" applyAlignment="1" pivotButton="0" quotePrefix="0" xfId="0">
      <alignment horizontal="center" vertical="center" wrapText="1"/>
    </xf>
    <xf numFmtId="0" fontId="34" fillId="0" borderId="0" applyAlignment="1" pivotButton="0" quotePrefix="0" xfId="0">
      <alignment horizontal="left" vertical="top" wrapText="1"/>
    </xf>
    <xf numFmtId="0" fontId="34" fillId="0" borderId="0" pivotButton="0" quotePrefix="0" xfId="0"/>
    <xf numFmtId="0" fontId="39" fillId="0" borderId="0" applyAlignment="1" pivotButton="0" quotePrefix="0" xfId="0">
      <alignment horizontal="left" vertical="top" wrapText="1"/>
    </xf>
    <xf numFmtId="0" fontId="40" fillId="0" borderId="0" pivotButton="0" quotePrefix="0" xfId="0"/>
    <xf numFmtId="0" fontId="41" fillId="43" borderId="15" applyAlignment="1" pivotButton="0" quotePrefix="0" xfId="0">
      <alignment horizontal="center" vertical="center"/>
    </xf>
    <xf numFmtId="0" fontId="0" fillId="0" borderId="15" pivotButton="0" quotePrefix="0" xfId="0"/>
    <xf numFmtId="0" fontId="41" fillId="43" borderId="0" applyAlignment="1" pivotButton="0" quotePrefix="0" xfId="0">
      <alignment horizontal="center" vertical="center"/>
    </xf>
    <xf numFmtId="166" fontId="35" fillId="0" borderId="15" applyAlignment="1" pivotButton="0" quotePrefix="0" xfId="0">
      <alignment horizontal="center" vertical="center" wrapText="1"/>
    </xf>
    <xf numFmtId="166" fontId="35" fillId="45" borderId="15" applyAlignment="1" pivotButton="0" quotePrefix="0" xfId="0">
      <alignment horizontal="left" vertical="top" wrapText="1"/>
    </xf>
    <xf numFmtId="0" fontId="39" fillId="0" borderId="1" applyAlignment="1" pivotButton="0" quotePrefix="0" xfId="0">
      <alignment horizontal="left" vertical="top" wrapText="1"/>
    </xf>
  </cellXfs>
  <cellStyles count="49">
    <cellStyle name="常规" xfId="0" builtinId="0"/>
    <cellStyle name="20% - 强调文字颜色 1" xfId="1" builtinId="30"/>
    <cellStyle name="强调文字颜色 1" xfId="2" builtinId="29"/>
    <cellStyle name="适中" xfId="3" builtinId="28"/>
    <cellStyle name="好" xfId="4" builtinId="26"/>
    <cellStyle name="汇总" xfId="5" builtinId="25"/>
    <cellStyle name="链接单元格" xfId="6" builtinId="24"/>
    <cellStyle name="强调文字颜色 2" xfId="7" builtinId="33"/>
    <cellStyle name="20% - 强调文字颜色 6" xfId="8" builtinId="50"/>
    <cellStyle name="检查单元格" xfId="9" builtinId="23"/>
    <cellStyle name="计算" xfId="10" builtinId="22"/>
    <cellStyle name="输出" xfId="11" builtinId="21"/>
    <cellStyle name="标题 3" xfId="12" builtinId="18"/>
    <cellStyle name="60% - 强调文字颜色 1" xfId="13" builtinId="32"/>
    <cellStyle name="60% - 强调文字颜色 2" xfId="14" builtinId="36"/>
    <cellStyle name="标题 4" xfId="15" builtinId="19"/>
    <cellStyle name="强调文字颜色 3" xfId="16" builtinId="37"/>
    <cellStyle name="强调文字颜色 4" xfId="17" builtinId="41"/>
    <cellStyle name="货币" xfId="18" builtinId="4"/>
    <cellStyle name="20% - 强调文字颜色 4" xfId="19" builtinId="42"/>
    <cellStyle name="百分比" xfId="20" builtinId="5"/>
    <cellStyle name="已访问的超链接" xfId="21" builtinId="9"/>
    <cellStyle name="20% - 强调文字颜色 5" xfId="22" builtinId="46"/>
    <cellStyle name="40% - 强调文字颜色 4" xfId="23" builtinId="43"/>
    <cellStyle name="千位分隔[0]" xfId="24" builtinId="6"/>
    <cellStyle name="20% - 强调文字颜色 2" xfId="25" builtinId="34"/>
    <cellStyle name="40% - 强调文字颜色 6" xfId="26" builtinId="51"/>
    <cellStyle name="40% - 强调文字颜色 2" xfId="27" builtinId="35"/>
    <cellStyle name="60% - 强调文字颜色 6" xfId="28" builtinId="52"/>
    <cellStyle name="标题" xfId="29" builtinId="15"/>
    <cellStyle name="强调文字颜色 5" xfId="30" builtinId="45"/>
    <cellStyle name="超链接" xfId="31" builtinId="8"/>
    <cellStyle name="强调文字颜色 6" xfId="32" builtinId="49"/>
    <cellStyle name="40% - 强调文字颜色 1" xfId="33" builtinId="31"/>
    <cellStyle name="60% - 强调文字颜色 5" xfId="34" builtinId="48"/>
    <cellStyle name="警告文本" xfId="35" builtinId="11"/>
    <cellStyle name="40% - 强调文字颜色 5" xfId="36" builtinId="47"/>
    <cellStyle name="注释" xfId="37" builtinId="10"/>
    <cellStyle name="差" xfId="38" builtinId="27"/>
    <cellStyle name="40% - 强调文字颜色 3" xfId="39" builtinId="39"/>
    <cellStyle name="货币[0]" xfId="40" builtinId="7"/>
    <cellStyle name="60% - 强调文字颜色 4" xfId="41" builtinId="44"/>
    <cellStyle name="千位分隔" xfId="42" builtinId="3"/>
    <cellStyle name="60% - 强调文字颜色 3" xfId="43" builtinId="40"/>
    <cellStyle name="输入" xfId="44" builtinId="20"/>
    <cellStyle name="20% - 强调文字颜色 3" xfId="45" builtinId="38"/>
    <cellStyle name="解释性文本" xfId="46" builtinId="53"/>
    <cellStyle name="标题 1" xfId="47" builtinId="16"/>
    <cellStyle name="标题 2" xfId="48" builtinId="17"/>
  </cellStyles>
  <dxfs count="4">
    <dxf>
      <font>
        <name val="Microsoft YaHei"/>
        <b val="1"/>
        <color rgb="FFFFFFFF"/>
        <sz val="8"/>
      </font>
      <fill>
        <patternFill patternType="solid">
          <fgColor rgb="FF4472C4"/>
        </patternFill>
      </fill>
    </dxf>
    <dxf>
      <font>
        <name val="Microsoft YaHei"/>
        <b val="1"/>
        <color rgb="FF9C0006"/>
        <sz val="9"/>
      </font>
      <fill>
        <patternFill patternType="solid">
          <fgColor rgb="FFFFC7CE"/>
        </patternFill>
      </fill>
    </dxf>
    <dxf>
      <font>
        <name val="Microsoft YaHei"/>
        <b val="1"/>
        <color rgb="FFFFFFFF"/>
        <sz val="8"/>
      </font>
      <fill>
        <patternFill patternType="solid">
          <fgColor rgb="FF4472C4"/>
          <bgColor rgb="FF4472C4"/>
        </patternFill>
      </fill>
    </dxf>
    <dxf>
      <font>
        <name val="Microsoft YaHei"/>
        <b val="1"/>
        <color rgb="FF9C0006"/>
        <sz val="9"/>
      </font>
      <fill>
        <patternFill patternType="solid">
          <fgColor rgb="FFFFC7CE"/>
          <bgColor rgb="FFFFC7C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0"/>
  <sheetViews>
    <sheetView workbookViewId="0">
      <selection activeCell="A1" sqref="A1"/>
    </sheetView>
  </sheetViews>
  <sheetFormatPr baseColWidth="8" defaultRowHeight="15"/>
  <cols>
    <col width="34" customWidth="1" style="3" min="1" max="1"/>
    <col width="104" customWidth="1" style="3" min="2" max="2"/>
  </cols>
  <sheetData>
    <row r="1" ht="26" customHeight="1" s="3">
      <c r="A1" s="38" t="inlineStr">
        <is>
          <t>new-api 菲律宾部署方案 · 部署清单与 9 天落地计划（2 人全职）</t>
        </is>
      </c>
    </row>
    <row r="3">
      <c r="A3" s="39" t="inlineStr">
        <is>
          <t>项目信息</t>
        </is>
      </c>
    </row>
    <row r="4">
      <c r="A4" s="40" t="inlineStr">
        <is>
          <t>项目名称</t>
        </is>
      </c>
      <c r="B4" s="41" t="inlineStr">
        <is>
          <t>new-api AI 网关（Go + React 单体二进制）· 菲律宾站部署</t>
        </is>
      </c>
    </row>
    <row r="5">
      <c r="A5" s="40" t="inlineStr">
        <is>
          <t>文档版本</t>
        </is>
      </c>
      <c r="B5" s="41" t="inlineStr">
        <is>
          <t>v2.1（评审修订版；v2.0 -&gt; v2.1 修订依据见「修订要点」）</t>
        </is>
      </c>
    </row>
    <row r="6">
      <c r="A6" s="40" t="inlineStr">
        <is>
          <t>编制日期</t>
        </is>
      </c>
      <c r="B6" s="41" t="inlineStr">
        <is>
          <t>2026-09-23</t>
        </is>
      </c>
    </row>
    <row r="7">
      <c r="A7" s="40" t="inlineStr">
        <is>
          <t>编制依据</t>
        </is>
      </c>
      <c r="B7" s="41" t="inlineStr">
        <is>
          <t>impl_deploy.md 第七章「阿里云部署方案（菲律宾 + 泰国）」7.1–7.10 与第八章「SLA 99.95% 达成方案」8.1–8.6；本项目评审报告 部署方案评审-2026-09-23.md</t>
        </is>
      </c>
    </row>
    <row r="8">
      <c r="A8" s="40" t="inlineStr">
        <is>
          <t>主站点</t>
        </is>
      </c>
      <c r="B8" s="41" t="inlineStr">
        <is>
          <t>阿里云国际站 · 菲律宾 马尼拉 ap-southeast-6（承载菲律宾常态流量）</t>
        </is>
      </c>
    </row>
    <row r="9">
      <c r="A9" s="40" t="inlineStr">
        <is>
          <t>备 region</t>
        </is>
      </c>
      <c r="B9" s="41" t="inlineStr">
        <is>
          <t>阿里云国际站 · 新加坡 ap-southeast-1（仅承载 PH 备工作负载；泰国备为二期，不共用本集群）</t>
        </is>
      </c>
    </row>
    <row r="10">
      <c r="A10" s="40" t="inlineStr">
        <is>
          <t>数据库策略</t>
        </is>
      </c>
      <c r="B10" s="41" t="inlineStr">
        <is>
          <t>RDS PostgreSQL 高可用版【仅部署于马尼拉】；新加坡不部署任何数据库（含只读副本与 DTS）。备 region 经 RDS 公网地址 + TLS(verify-full) + IP 白名单读写马尼拉主库，不双写、无 DTS 链路</t>
        </is>
      </c>
    </row>
    <row r="11">
      <c r="A11" s="40" t="inlineStr">
        <is>
          <t>上游出口</t>
        </is>
      </c>
      <c r="B11" s="41" t="inlineStr">
        <is>
          <t>各 region NAT 固定 EIP 池直出上游（马尼拉 4 个 + 新加坡 4 个 = 8 个），不启用 GA；上游白名单 = 上述 8 个 EIP，须提交并逐一确认生效。GA 列为二期可选优化（原 v2.0「EIP -&gt; GA -&gt; 上游」与「EIP 提交白名单」自相矛盾，已按此口径收敛）</t>
        </is>
      </c>
    </row>
    <row r="12">
      <c r="A12" s="40" t="inlineStr">
        <is>
          <t>目标 SLA</t>
        </is>
      </c>
      <c r="B12" s="41" t="inlineStr">
        <is>
          <t>≥ 99.95%（月度不可用预算 21.6 分钟）；判定口径与排除项见「里程碑与验收」SLA 指标口径与排除项</t>
        </is>
      </c>
    </row>
    <row r="13">
      <c r="A13" s="40" t="inlineStr">
        <is>
          <t>总工期</t>
        </is>
      </c>
      <c r="B13" s="41" t="inlineStr">
        <is>
          <t>9 个自然日（D1–D9）；2 人全职，共 18 个时段 / 144 人时产能，计划投入 113 人时（78%），保留 31 人时缓冲</t>
        </is>
      </c>
    </row>
    <row r="14">
      <c r="A14" s="40" t="inlineStr">
        <is>
          <t>关键前提（门禁 G0）</t>
        </is>
      </c>
      <c r="B14" s="41" t="inlineStr">
        <is>
          <t>T-5 前置项（企业实名认证、资源配额审批、域名 NS 生效、证书签发、云产品开通、RAM/审计预建）与 T-3 前置项（代码侧补建改造、备 region 容量与配额、连接数方案、SLA 口径、staging/perf 方案）必须全部完成；任一项未完成则 D1 不得启动</t>
        </is>
      </c>
    </row>
    <row r="15">
      <c r="A15" s="40" t="inlineStr">
        <is>
          <t>工期风险等级</t>
        </is>
      </c>
      <c r="B15" s="41" t="inlineStr">
        <is>
          <t>中：已按 D1–D9 排布并保留 31 人时缓冲（约 2 个时段），但备 region 配额与代码侧改造为外部依赖，仍可能触发顺延</t>
        </is>
      </c>
    </row>
    <row r="16">
      <c r="A16" s="40" t="inlineStr">
        <is>
          <t>交付范围（本次）</t>
        </is>
      </c>
      <c r="B16" s="41" t="inlineStr">
        <is>
          <t>仅菲律宾站点（马尼拉主站 + 新加坡 PH 备）。泰国站点（曼谷）为二期，不在本次交付范围；本方案上线后泰国用户接入马尼拉，RTT 55–80 ms，与 impl_deploy.md 1.2「主站点不能只放一个区域」的结论存在偏差，须在合同/验收口径中书面说明</t>
        </is>
      </c>
    </row>
    <row r="17">
      <c r="A17" s="40" t="inlineStr">
        <is>
          <t>SLA 达成最低配置</t>
        </is>
      </c>
      <c r="B17" s="41" t="inlineStr">
        <is>
          <t>双站点 + 新加坡备 region + 主站 ≥4 副本跨 2 AZ + RDS 高可用 + Redis 限流降级改造；缺任一项则 99.95% 不成立（impl_deploy.md 8.2）</t>
        </is>
      </c>
    </row>
    <row r="18">
      <c r="A18" s="40" t="inlineStr">
        <is>
          <t>修订要点（v2.0 -&gt; v2.1）</t>
        </is>
      </c>
      <c r="B18" s="41" t="inlineStr">
        <is>
          <t>① 工期 5 天 -&gt; 9 天（56 项任务压缩进 8 天/16 时段经 600 次重排无可行解）；② 前置期 T-3 的 0 天改为真实前置 T-5；③ 补 PgBouncer/RDS 代理、cluster-autoscaler、备 region HPA 与 1.5× 接管容量；④ 补 staging/perf、运维访问面、Tair 预热、PITR 演练、连接数预算、Grafana、带宽与成本量化、上游配额盘点；⑤ 安全 3 改（ALB 源收敛为 WAF/DCDN 回源段、支付回调源 IP 白名单、SESSION_SECRET 双密钥轮换）；⑥ 修正证书部署时序、依赖倒挂、J48 负荷公式、门禁计数与编号映射、域名/数据盘/RTT 阈值口径</t>
        </is>
      </c>
    </row>
    <row r="19" ht="20" customHeight="1" s="3">
      <c r="A19" s="39" t="inlineStr">
        <is>
          <t>假设与关键参数（黄色底单元格需按实际情况确认/替换）</t>
        </is>
      </c>
    </row>
    <row r="20">
      <c r="A20" s="42" t="inlineStr">
        <is>
          <t>参数</t>
        </is>
      </c>
      <c r="B20" s="42" t="inlineStr">
        <is>
          <t>取值</t>
        </is>
      </c>
    </row>
    <row r="21">
      <c r="A21" s="40" t="inlineStr">
        <is>
          <t>部署启动日（D1，落地计划日期基准）</t>
        </is>
      </c>
      <c r="B21" s="84" t="n">
        <v>46293</v>
      </c>
    </row>
    <row r="22">
      <c r="A22" s="40" t="inlineStr">
        <is>
          <t>前置启动日（T-5，账号/配额/域名/证书/产品开通须在此日发起）</t>
        </is>
      </c>
      <c r="B22" s="84" t="n">
        <v>46288</v>
      </c>
    </row>
    <row r="23">
      <c r="A23" s="40" t="inlineStr">
        <is>
          <t>投入人力</t>
        </is>
      </c>
      <c r="B23" s="41" t="inlineStr">
        <is>
          <t>2 人全职 —— 人员A：基础设施/网络/接入/SRE；人员B：数据/应用/CI-CD/DevOps</t>
        </is>
      </c>
    </row>
    <row r="24">
      <c r="A24" s="40" t="inlineStr">
        <is>
          <t>人力模型</t>
        </is>
      </c>
      <c r="B24" s="41" t="inlineStr">
        <is>
          <t>每时段（半天）= 2 人 × 4 小时 = 8 人时；单人每时段上限 4 人时；9 天共 18 个时段（S1–S18）</t>
        </is>
      </c>
    </row>
    <row r="25">
      <c r="A25" s="40" t="inlineStr">
        <is>
          <t>业务域名（统一口径，需替换为正式域名）</t>
        </is>
      </c>
      <c r="B25" s="43" t="inlineStr">
        <is>
          <t>api.likha.com（全表统一；替代原 example-ph.com 示例）</t>
        </is>
      </c>
    </row>
    <row r="26">
      <c r="A26" s="40" t="inlineStr">
        <is>
          <t>运维域名（统一口径）</t>
        </is>
      </c>
      <c r="B26" s="43" t="inlineStr">
        <is>
          <t>ops.likha.com</t>
        </is>
      </c>
    </row>
    <row r="27">
      <c r="A27" s="40" t="inlineStr">
        <is>
          <t>镜像仓库前缀</t>
        </is>
      </c>
      <c r="B27" s="41" t="inlineStr">
        <is>
          <t>registry-vpc.ap-southeast-6.aliyuncs.com/newapi/new-api</t>
        </is>
      </c>
    </row>
    <row r="28">
      <c r="A28" s="40" t="inlineStr">
        <is>
          <t>单实例规格</t>
        </is>
      </c>
      <c r="B28" s="41" t="inlineStr">
        <is>
          <t>g8i.2xlarge（8 vCPU / 32 GiB）；Pod request 2 vCPU / 4 GiB，limit 4 vCPU / 8 GiB</t>
        </is>
      </c>
    </row>
    <row r="29">
      <c r="A29" s="40" t="inlineStr">
        <is>
          <t>负载与副本口径</t>
        </is>
      </c>
      <c r="B29" s="41" t="inlineStr">
        <is>
          <t>主站 stable 常态 4 副本、HPA 4–16；备 region PH 备常态 2 副本、HPA 2–24（可扩容上限 ≥ 主站峰值 16 × 1.5 = 24 副本）</t>
        </is>
      </c>
    </row>
    <row r="30">
      <c r="A30" s="40" t="inlineStr">
        <is>
          <t>节点池与配额口径</t>
        </is>
      </c>
      <c r="B30" s="43" t="inlineStr">
        <is>
          <t>马尼拉：常态 4 节点 / 自动伸缩 4–8（8 × 8 vCPU = 64，等于 ECS 配额上限）；新加坡：常态 2 节点 / 自动伸缩 2–12（96 vCPU，须配额提升）</t>
        </is>
      </c>
    </row>
    <row r="31">
      <c r="A31" s="40" t="inlineStr">
        <is>
          <t>上游出口与白名单</t>
        </is>
      </c>
      <c r="B31" s="43" t="inlineStr">
        <is>
          <t>马尼拉 NAT EIP ×4 + 新加坡 NAT EIP ×4；均提交上游做 IP 白名单（不启用 GA）</t>
        </is>
      </c>
    </row>
    <row r="32" ht="42" customHeight="1" s="3">
      <c r="A32" s="44" t="inlineStr">
        <is>
          <t>日期口径：D1 = 部署启动日（2026-09-28），落地计划中每项任务的日期均由此基准自动推算；任务均为「半天时段」粒度，D1上午 = S1 …… D9下午 = S18。数据来源：资源规格、数量与关键配置取自 impl_deploy.md 第 7.2 / 7.4 / 7.9 / 8.5 节；人时与配额为估算口径，需按实际情况与团队熟练度校准。</t>
        </is>
      </c>
      <c r="B32" s="45" t="n"/>
    </row>
    <row r="34">
      <c r="A34" s="39" t="inlineStr">
        <is>
          <t>清单结构</t>
        </is>
      </c>
    </row>
    <row r="35">
      <c r="A35" s="40" t="inlineStr">
        <is>
          <t>① 账号与域名申请</t>
        </is>
      </c>
      <c r="B35" s="41" t="inlineStr">
        <is>
          <t>19 项前置申请：国际站注册与企业实名、支付与配额（含备 region ≥96 vCPU）、RAM/MFA/审计、11 类云产品开通、域名实名与 NS 托管、SSL 证书、告警通道；标注【T-5 / T-3 前置】与等待时长；★ 门禁项 12 项与门禁清单 G1–G13 的映射见门禁清单「门禁作用」列</t>
        </is>
      </c>
    </row>
    <row r="36">
      <c r="A36" s="40" t="inlineStr">
        <is>
          <t>② 资源清单-马尼拉</t>
        </is>
      </c>
      <c r="B36" s="41" t="inlineStr">
        <is>
          <t>主站点（ap-southeast-6）39 项资源：网络、接入、计算、数据、缓存、日志、存储、安全、观测，以及 master / stable / canary 三个工作负载；新增 PgBouncer、cluster-autoscaler、证书部署与 SNI 校验、staging/perf、支付回调白名单、连接数预算、出口带宽规格、Grafana、运维访问面、成本看板</t>
        </is>
      </c>
    </row>
    <row r="37">
      <c r="A37" s="40" t="inlineStr">
        <is>
          <t>③ 资源清单-新加坡</t>
        </is>
      </c>
      <c r="B37" s="41" t="inlineStr">
        <is>
          <t>备 region（ap-southeast-1）20 项资源：【RDS 数量为 0，不部署】；新增节点池自动伸缩与 PH 备 HPA（接管容量 ≥ 峰值 × 1.5）</t>
        </is>
      </c>
    </row>
    <row r="38">
      <c r="A38" s="40" t="inlineStr">
        <is>
          <t>④ 网络与安全规划</t>
        </is>
      </c>
      <c r="B38" s="41" t="inlineStr">
        <is>
          <t>VPC/vSwitch 网段、EIP 规划、安全组逐条规则（入向禁止 0.0.0.0/0，仅放行 WAF/DCDN 回源段与对端 CIDR）、KMS 凭据与轮换周期（SESSION_SECRET 双密钥过渡）</t>
        </is>
      </c>
    </row>
    <row r="39">
      <c r="A39" s="40" t="inlineStr">
        <is>
          <t>⑤ 落地计划</t>
        </is>
      </c>
      <c r="B39" s="41" t="inlineStr">
        <is>
          <t>9 天 56 项任务，按 D1–D9 × 上午/下午共 18 个时段排布；含负责人员、前置依赖、人时、甘特条、验收标准，并附【T-5/T-3 前置门禁清单】与【人力负荷校验】（每时段单人 ≤ 4 人时）</t>
        </is>
      </c>
    </row>
    <row r="40">
      <c r="A40" s="40" t="inlineStr">
        <is>
          <t>⑥ 里程碑与验收</t>
        </is>
      </c>
      <c r="B40" s="41" t="inlineStr">
        <is>
          <t>G0 门禁 + M1–M5 里程碑、验收证据、SLA 指标口径与排除项、15 项关键风险、7 项工期裁剪预案</t>
        </is>
      </c>
    </row>
  </sheetData>
  <mergeCells count="5">
    <mergeCell ref="A19:B19"/>
    <mergeCell ref="A32:B32"/>
    <mergeCell ref="A1:B1"/>
    <mergeCell ref="A3:B3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1" workbookViewId="0">
      <pane xSplit="2" ySplit="3" topLeftCell="C4" activePane="bottomRight" state="frozen"/>
      <selection activeCell="A1" sqref="A1"/>
    </sheetView>
  </sheetViews>
  <sheetFormatPr baseColWidth="8" defaultColWidth="9" defaultRowHeight="13.5"/>
  <cols>
    <col width="6" customWidth="1" style="3" min="1" max="1"/>
    <col width="10" customWidth="1" style="3" min="2" max="2"/>
    <col width="28" customWidth="1" style="3" min="3" max="3"/>
    <col width="22" customWidth="1" style="3" min="4" max="4"/>
    <col width="60.75" customWidth="1" style="3" min="5" max="5"/>
    <col width="10" customWidth="1" style="3" min="6" max="6"/>
    <col width="12" customWidth="1" style="3" min="7" max="8"/>
    <col width="17" customWidth="1" style="3" min="9" max="9"/>
    <col width="9" customWidth="1" style="3" min="10" max="10"/>
    <col width="46" customWidth="1" style="3" min="11" max="11"/>
  </cols>
  <sheetData>
    <row r="1" ht="24" customHeight="1" s="3">
      <c r="A1" s="46" t="inlineStr">
        <is>
          <t>阿里云国际站 · 账号、实名、配额与域名申请清单（★ = 阻塞 5 天工期的 T-3 前置项）</t>
        </is>
      </c>
    </row>
    <row r="3">
      <c r="A3" s="47" t="inlineStr">
        <is>
          <t>序号</t>
        </is>
      </c>
      <c r="B3" s="47" t="inlineStr">
        <is>
          <t>类别</t>
        </is>
      </c>
      <c r="C3" s="47" t="inlineStr">
        <is>
          <t>事项</t>
        </is>
      </c>
      <c r="D3" s="47" t="inlineStr">
        <is>
          <t>入口 / 平台</t>
        </is>
      </c>
      <c r="E3" s="47" t="inlineStr">
        <is>
          <t>关键要求与参数</t>
        </is>
      </c>
      <c r="F3" s="47" t="inlineStr">
        <is>
          <t>前置依赖</t>
        </is>
      </c>
      <c r="G3" s="47" t="inlineStr">
        <is>
          <t>负责角色</t>
        </is>
      </c>
      <c r="H3" s="47" t="inlineStr">
        <is>
          <t>启动时点</t>
        </is>
      </c>
      <c r="I3" s="47" t="inlineStr">
        <is>
          <t>工期 / 等待时长</t>
        </is>
      </c>
      <c r="J3" s="47" t="inlineStr">
        <is>
          <t>是否门禁项</t>
        </is>
      </c>
      <c r="K3" s="47" t="inlineStr">
        <is>
          <t>备注</t>
        </is>
      </c>
    </row>
    <row r="4">
      <c r="A4" s="48" t="inlineStr">
        <is>
          <t>1</t>
        </is>
      </c>
      <c r="B4" s="48" t="inlineStr">
        <is>
          <t>账号注册</t>
        </is>
      </c>
      <c r="C4" s="48" t="inlineStr">
        <is>
          <t>注册阿里云国际站账号</t>
        </is>
      </c>
      <c r="D4" s="48" t="inlineStr">
        <is>
          <t>alibabacloud.com</t>
        </is>
      </c>
      <c r="E4" s="48" t="inlineStr">
        <is>
          <t>企业域名邮箱注册；注册国家/地区选 Philippines；绑定可接收国际短信的手机号</t>
        </is>
      </c>
      <c r="F4" s="48" t="inlineStr">
        <is>
          <t>—</t>
        </is>
      </c>
      <c r="G4" s="48" t="inlineStr">
        <is>
          <t>项目负责人</t>
        </is>
      </c>
      <c r="H4" s="48" t="inlineStr">
        <is>
          <t>T-3 前置</t>
        </is>
      </c>
      <c r="I4" s="48" t="inlineStr">
        <is>
          <t>0.5 工作日</t>
        </is>
      </c>
      <c r="J4" s="48" t="inlineStr">
        <is>
          <t>★ 门禁</t>
        </is>
      </c>
      <c r="K4" s="48" t="inlineStr">
        <is>
          <t>主账号仅用于计费与 RAM 管理，禁止日常运维使用</t>
        </is>
      </c>
    </row>
    <row r="5">
      <c r="A5" s="32" t="inlineStr">
        <is>
          <t>2</t>
        </is>
      </c>
      <c r="B5" s="32" t="inlineStr">
        <is>
          <t>账号注册</t>
        </is>
      </c>
      <c r="C5" s="32" t="inlineStr">
        <is>
          <t>完成企业实名认证</t>
        </is>
      </c>
      <c r="D5" s="32" t="inlineStr">
        <is>
          <t>阿里云国际站 · 实名认证</t>
        </is>
      </c>
      <c r="E5" s="32" t="inlineStr">
        <is>
          <t>提交菲律宾主体注册文件（DTI/SEC）、法人身份证件、公司地址证明；名称须与银行账户一致</t>
        </is>
      </c>
      <c r="F5" s="32" t="inlineStr">
        <is>
          <t>1</t>
        </is>
      </c>
      <c r="G5" s="32" t="inlineStr">
        <is>
          <t>项目负责人</t>
        </is>
      </c>
      <c r="H5" s="32" t="inlineStr">
        <is>
          <t>T-3 前置</t>
        </is>
      </c>
      <c r="I5" s="32" t="inlineStr">
        <is>
          <t>1–2 工作日（等待）</t>
        </is>
      </c>
      <c r="J5" s="32" t="inlineStr">
        <is>
          <t>★ 门禁</t>
        </is>
      </c>
      <c r="K5" s="49" t="inlineStr">
        <is>
          <t>未实名无法购买 ECS/RDS；5 天工期最大外部风险，须 T-3 立即提交并每日跟进</t>
        </is>
      </c>
    </row>
    <row r="6" ht="18.75" customHeight="1" s="3">
      <c r="A6" s="48" t="inlineStr">
        <is>
          <t>3</t>
        </is>
      </c>
      <c r="B6" s="48" t="inlineStr">
        <is>
          <t>账号注册</t>
        </is>
      </c>
      <c r="C6" s="48" t="inlineStr">
        <is>
          <t>开通后付费并绑定支付方式</t>
        </is>
      </c>
      <c r="D6" s="48" t="inlineStr">
        <is>
          <t>费用中心 · 支付方式</t>
        </is>
      </c>
      <c r="E6" s="48" t="inlineStr">
        <is>
          <t>绑定 Visa/MasterCard 企业卡或对公转账；开启自动扣款与余额告警</t>
        </is>
      </c>
      <c r="F6" s="48" t="inlineStr">
        <is>
          <t>—</t>
        </is>
      </c>
      <c r="G6" s="48" t="inlineStr">
        <is>
          <t>财务</t>
        </is>
      </c>
      <c r="H6" s="48" t="inlineStr">
        <is>
          <t>T-3 前置</t>
        </is>
      </c>
      <c r="I6" s="48" t="inlineStr">
        <is>
          <t>0.5 工作日</t>
        </is>
      </c>
      <c r="J6" s="48" t="inlineStr">
        <is>
          <t>★ 门禁</t>
        </is>
      </c>
      <c r="K6" s="48" t="inlineStr">
        <is>
          <t>预留不低于 3 个月账单的信用额度，避免欠费停机</t>
        </is>
      </c>
    </row>
    <row r="7" ht="18.75" customHeight="1" s="3">
      <c r="A7" s="32" t="inlineStr">
        <is>
          <t>4</t>
        </is>
      </c>
      <c r="B7" s="32" t="inlineStr">
        <is>
          <t>账号安全</t>
        </is>
      </c>
      <c r="C7" s="32" t="inlineStr">
        <is>
          <t>主账号安全加固</t>
        </is>
      </c>
      <c r="D7" s="32" t="inlineStr">
        <is>
          <t>账号中心 · 安全设置</t>
        </is>
      </c>
      <c r="E7" s="32" t="inlineStr">
        <is>
          <t>开启 MFA、登录保护与异地登录告警；绑定安全邮箱与紧急联系人</t>
        </is>
      </c>
      <c r="F7" s="32" t="inlineStr">
        <is>
          <t>1</t>
        </is>
      </c>
      <c r="G7" s="32" t="inlineStr">
        <is>
          <t>安全负责人</t>
        </is>
      </c>
      <c r="H7" s="32" t="inlineStr">
        <is>
          <t>T-3 前置</t>
        </is>
      </c>
      <c r="I7" s="32" t="inlineStr">
        <is>
          <t>0.5 工作日</t>
        </is>
      </c>
      <c r="J7" s="32" t="inlineStr">
        <is>
          <t>—</t>
        </is>
      </c>
      <c r="K7" s="32" t="inlineStr">
        <is>
          <t>OWASP：主账号不做日常操作</t>
        </is>
      </c>
    </row>
    <row r="8" ht="18.75" customHeight="1" s="3">
      <c r="A8" s="48" t="inlineStr">
        <is>
          <t>5</t>
        </is>
      </c>
      <c r="B8" s="48" t="inlineStr">
        <is>
          <t>账号安全</t>
        </is>
      </c>
      <c r="C8" s="48" t="inlineStr">
        <is>
          <t>创建 RAM 用户与最小权限策略</t>
        </is>
      </c>
      <c r="D8" s="48" t="inlineStr">
        <is>
          <t>RAM 控制台</t>
        </is>
      </c>
      <c r="E8" s="48" t="inlineStr">
        <is>
          <t>4 个角色：admin、ops、cicd-push（仅 ACR 推送）、iac-terraform（IaC 最小权限）</t>
        </is>
      </c>
      <c r="F8" s="48" t="inlineStr">
        <is>
          <t>4</t>
        </is>
      </c>
      <c r="G8" s="48" t="inlineStr">
        <is>
          <t>安全负责人</t>
        </is>
      </c>
      <c r="H8" s="48" t="inlineStr">
        <is>
          <t>T-3 前置</t>
        </is>
      </c>
      <c r="I8" s="48" t="inlineStr">
        <is>
          <t>0.5 工作日</t>
        </is>
      </c>
      <c r="J8" s="48" t="inlineStr">
        <is>
          <t>★ 门禁</t>
        </is>
      </c>
      <c r="K8" s="48" t="inlineStr">
        <is>
          <t>同时开启 ActionTrail，记录全部云 API 变更并保留 180 天</t>
        </is>
      </c>
    </row>
    <row r="9" ht="18" customHeight="1" s="3">
      <c r="A9" s="32" t="inlineStr">
        <is>
          <t>6</t>
        </is>
      </c>
      <c r="B9" s="32" t="inlineStr">
        <is>
          <t>账号安全</t>
        </is>
      </c>
      <c r="C9" s="32" t="inlineStr">
        <is>
          <t>配置资源组与成本标签</t>
        </is>
      </c>
      <c r="D9" s="32" t="inlineStr">
        <is>
          <t>资源管理 / 费用中心</t>
        </is>
      </c>
      <c r="E9" s="32" t="inlineStr">
        <is>
          <t>资源组按 site=ph-mnl、site=sg 划分；成本标签：项目、环境、站点、成本中心</t>
        </is>
      </c>
      <c r="F9" s="32" t="inlineStr">
        <is>
          <t>5</t>
        </is>
      </c>
      <c r="G9" s="32" t="inlineStr">
        <is>
          <t>运维负责人</t>
        </is>
      </c>
      <c r="H9" s="32" t="inlineStr">
        <is>
          <t>T-3 前置</t>
        </is>
      </c>
      <c r="I9" s="32" t="inlineStr">
        <is>
          <t>0.5 工作日</t>
        </is>
      </c>
      <c r="J9" s="32" t="inlineStr">
        <is>
          <t>—</t>
        </is>
      </c>
      <c r="K9" s="32" t="inlineStr">
        <is>
          <t>用于分账、预算告警与成本核算</t>
        </is>
      </c>
    </row>
    <row r="10" ht="31.5" customHeight="1" s="3">
      <c r="A10" s="48" t="inlineStr">
        <is>
          <t>7</t>
        </is>
      </c>
      <c r="B10" s="48" t="inlineStr">
        <is>
          <t>配额申请</t>
        </is>
      </c>
      <c r="C10" s="48" t="inlineStr">
        <is>
          <t>提交资源配额（Quota）申请</t>
        </is>
      </c>
      <c r="D10" s="48" t="inlineStr">
        <is>
          <t>配额中心 / 工单</t>
        </is>
      </c>
      <c r="E10" s="48" t="inlineStr">
        <is>
          <t>ECS vCPU ≥ 64（马尼拉）+ ≥ 96（新加坡，备 region 接管容量 1.5× 所需）；ALB 2；EIP ≥ 10；RDS 16C64G；RDS 数据库代理 / PgBouncer 1；Tair 4GB 主备；ClickHouse 2 节点；OSS 2；GTM 1</t>
        </is>
      </c>
      <c r="F10" s="48" t="inlineStr">
        <is>
          <t>1</t>
        </is>
      </c>
      <c r="G10" s="48" t="inlineStr">
        <is>
          <t>运维负责人</t>
        </is>
      </c>
      <c r="H10" s="48" t="inlineStr">
        <is>
          <t>T-3 前置</t>
        </is>
      </c>
      <c r="I10" s="48" t="inlineStr">
        <is>
          <t>2–3 工作日（等待，关键路径）</t>
        </is>
      </c>
      <c r="J10" s="48" t="inlineStr">
        <is>
          <t>★ 门禁</t>
        </is>
      </c>
      <c r="K10" s="48" t="inlineStr">
        <is>
          <t>国际站默认配额常不足；工单需说明业务场景与峰值，分两批（先马尼拉后新加坡）申请；新加坡 ≥96 vCPU 为备 region 满足「单站点全量接管 ≥ 被接管站点峰值 × 1.5」的硬前提</t>
        </is>
      </c>
    </row>
    <row r="11" ht="18.75" customHeight="1" s="3">
      <c r="A11" s="32" t="inlineStr">
        <is>
          <t>8</t>
        </is>
      </c>
      <c r="B11" s="32" t="inlineStr">
        <is>
          <t>产品开通</t>
        </is>
      </c>
      <c r="C11" s="32" t="inlineStr">
        <is>
          <t>开通网络与计算类产品</t>
        </is>
      </c>
      <c r="D11" s="32" t="inlineStr">
        <is>
          <t>产品控制台</t>
        </is>
      </c>
      <c r="E11" s="32" t="inlineStr">
        <is>
          <t>VPC、EIP、NAT 网关、ALB、ACK Pro 托管版（含节点池自动伸缩）、ACR 企业版</t>
        </is>
      </c>
      <c r="F11" s="32" t="inlineStr">
        <is>
          <t>1</t>
        </is>
      </c>
      <c r="G11" s="32" t="inlineStr">
        <is>
          <t>运维负责人</t>
        </is>
      </c>
      <c r="H11" s="32" t="inlineStr">
        <is>
          <t>T-3 前置</t>
        </is>
      </c>
      <c r="I11" s="32" t="inlineStr">
        <is>
          <t>0.5 工作日</t>
        </is>
      </c>
      <c r="J11" s="32" t="inlineStr">
        <is>
          <t>★ 门禁</t>
        </is>
      </c>
      <c r="K11" s="32" t="inlineStr">
        <is>
          <t>国际站需逐个产品单独开通</t>
        </is>
      </c>
    </row>
    <row r="12" ht="18.75" customHeight="1" s="3">
      <c r="A12" s="48" t="inlineStr">
        <is>
          <t>9</t>
        </is>
      </c>
      <c r="B12" s="48" t="inlineStr">
        <is>
          <t>产品开通</t>
        </is>
      </c>
      <c r="C12" s="48" t="inlineStr">
        <is>
          <t>开通数据与缓存类产品</t>
        </is>
      </c>
      <c r="D12" s="48" t="inlineStr">
        <is>
          <t>产品控制台</t>
        </is>
      </c>
      <c r="E12" s="48" t="inlineStr">
        <is>
          <t>RDS PostgreSQL（选 15）、RDS 数据库代理（独享型，或选 ACK 内自建 PgBouncer）、Tair（Redis 兼容）、云数据库 ClickHouse（社区版 24.8）</t>
        </is>
      </c>
      <c r="F12" s="48" t="inlineStr">
        <is>
          <t>1</t>
        </is>
      </c>
      <c r="G12" s="48" t="inlineStr">
        <is>
          <t>运维负责人</t>
        </is>
      </c>
      <c r="H12" s="48" t="inlineStr">
        <is>
          <t>T-3 前置</t>
        </is>
      </c>
      <c r="I12" s="48" t="inlineStr">
        <is>
          <t>0.5 工作日</t>
        </is>
      </c>
      <c r="J12" s="48" t="inlineStr">
        <is>
          <t>★ 门禁</t>
        </is>
      </c>
      <c r="K12" s="48" t="inlineStr">
        <is>
          <t>ClickHouse 仅承载 LOG_SQL_DSN，TTL 90 天</t>
        </is>
      </c>
    </row>
    <row r="13" ht="28.5" customHeight="1" s="3">
      <c r="A13" s="32" t="inlineStr">
        <is>
          <t>10</t>
        </is>
      </c>
      <c r="B13" s="32" t="inlineStr">
        <is>
          <t>产品开通</t>
        </is>
      </c>
      <c r="C13" s="32" t="inlineStr">
        <is>
          <t>开通接入与安全类产品</t>
        </is>
      </c>
      <c r="D13" s="32" t="inlineStr">
        <is>
          <t>产品控制台</t>
        </is>
      </c>
      <c r="E13" s="32" t="inlineStr">
        <is>
          <t>云解析 DNS（旗舰版）、GTM（旗舰版）、DCDN、WAF 3.0（企业版）、SSL 证书、KMS 凭据管家、堡垒机 / VPN</t>
        </is>
      </c>
      <c r="F13" s="32" t="inlineStr">
        <is>
          <t>1</t>
        </is>
      </c>
      <c r="G13" s="32" t="inlineStr">
        <is>
          <t>运维负责人</t>
        </is>
      </c>
      <c r="H13" s="32" t="inlineStr">
        <is>
          <t>T-3 前置</t>
        </is>
      </c>
      <c r="I13" s="32" t="inlineStr">
        <is>
          <t>0.5 工作日</t>
        </is>
      </c>
      <c r="J13" s="32" t="inlineStr">
        <is>
          <t>★ 门禁</t>
        </is>
      </c>
      <c r="K13" s="32" t="inlineStr">
        <is>
          <t>WAF 需企业版；证书需在 D1 前完成签发</t>
        </is>
      </c>
    </row>
    <row r="14" ht="18.75" customHeight="1" s="3">
      <c r="A14" s="48" t="inlineStr">
        <is>
          <t>11</t>
        </is>
      </c>
      <c r="B14" s="48" t="inlineStr">
        <is>
          <t>产品开通</t>
        </is>
      </c>
      <c r="C14" s="48" t="inlineStr">
        <is>
          <t>开通可观测与审计类产品</t>
        </is>
      </c>
      <c r="D14" s="48" t="inlineStr">
        <is>
          <t>产品控制台</t>
        </is>
      </c>
      <c r="E14" s="48" t="inlineStr">
        <is>
          <t>SLS、ARMS（Prometheus 版 + 应用监控）、Grafana 服务 / 工作区、云监控站点监控、ActionTrail</t>
        </is>
      </c>
      <c r="F14" s="48" t="inlineStr">
        <is>
          <t>1</t>
        </is>
      </c>
      <c r="G14" s="48" t="inlineStr">
        <is>
          <t>运维负责人</t>
        </is>
      </c>
      <c r="H14" s="48" t="inlineStr">
        <is>
          <t>T-3 前置</t>
        </is>
      </c>
      <c r="I14" s="48" t="inlineStr">
        <is>
          <t>0.5 工作日</t>
        </is>
      </c>
      <c r="J14" s="48" t="inlineStr">
        <is>
          <t>—</t>
        </is>
      </c>
      <c r="K14" s="48" t="inlineStr">
        <is>
          <t>拨测点选马尼拉、曼谷、新加坡、东京、香港</t>
        </is>
      </c>
    </row>
    <row r="15" ht="18.75" customHeight="1" s="3">
      <c r="A15" s="32" t="inlineStr">
        <is>
          <t>12</t>
        </is>
      </c>
      <c r="B15" s="32" t="inlineStr">
        <is>
          <t>产品开通</t>
        </is>
      </c>
      <c r="C15" s="32" t="inlineStr">
        <is>
          <t>开通对象存储与镜像仓库</t>
        </is>
      </c>
      <c r="D15" s="32" t="inlineStr">
        <is>
          <t>产品控制台</t>
        </is>
      </c>
      <c r="E15" s="32" t="inlineStr">
        <is>
          <t>OSS（同城冗余 ZRS）、ACR 企业版（马尼拉 + 新加坡两个地域实例）</t>
        </is>
      </c>
      <c r="F15" s="32" t="inlineStr">
        <is>
          <t>1</t>
        </is>
      </c>
      <c r="G15" s="32" t="inlineStr">
        <is>
          <t>运维负责人</t>
        </is>
      </c>
      <c r="H15" s="32" t="inlineStr">
        <is>
          <t>T-3 前置</t>
        </is>
      </c>
      <c r="I15" s="32" t="inlineStr">
        <is>
          <t>0.5 工作日</t>
        </is>
      </c>
      <c r="J15" s="32" t="inlineStr">
        <is>
          <t>—</t>
        </is>
      </c>
      <c r="K15" s="32" t="inlineStr">
        <is>
          <t>两站点须能从各自 VPC 域名拉取镜像</t>
        </is>
      </c>
    </row>
    <row r="16" ht="18.75" customHeight="1" s="3">
      <c r="A16" s="48" t="inlineStr">
        <is>
          <t>13</t>
        </is>
      </c>
      <c r="B16" s="48" t="inlineStr">
        <is>
          <t>域名</t>
        </is>
      </c>
      <c r="C16" s="48" t="inlineStr">
        <is>
          <t>域名选型与注册</t>
        </is>
      </c>
      <c r="D16" s="48" t="inlineStr">
        <is>
          <t>阿里云国际站 · 域名</t>
        </is>
      </c>
      <c r="E16" s="48" t="inlineStr">
        <is>
          <t>注册/确认业务域名与运维域名（统一为 api.likha.com / ops.likha.com）；开启隐私保护与自动续费</t>
        </is>
      </c>
      <c r="F16" s="48" t="inlineStr">
        <is>
          <t>—</t>
        </is>
      </c>
      <c r="G16" s="48" t="inlineStr">
        <is>
          <t>项目负责人</t>
        </is>
      </c>
      <c r="H16" s="48" t="inlineStr">
        <is>
          <t>T-3 前置</t>
        </is>
      </c>
      <c r="I16" s="48" t="inlineStr">
        <is>
          <t>0.5 工作日</t>
        </is>
      </c>
      <c r="J16" s="48" t="inlineStr">
        <is>
          <t>★ 门禁</t>
        </is>
      </c>
      <c r="K16" s="48" t="inlineStr">
        <is>
          <t>若使用既有域名可跳过注册，仅需完成实名与 NS 托管</t>
        </is>
      </c>
    </row>
    <row r="17" ht="18.75" customHeight="1" s="3">
      <c r="A17" s="32" t="inlineStr">
        <is>
          <t>14</t>
        </is>
      </c>
      <c r="B17" s="32" t="inlineStr">
        <is>
          <t>域名</t>
        </is>
      </c>
      <c r="C17" s="32" t="inlineStr">
        <is>
          <t>域名实名认证</t>
        </is>
      </c>
      <c r="D17" s="32" t="inlineStr">
        <is>
          <t>域名控制台</t>
        </is>
      </c>
      <c r="E17" s="32" t="inlineStr">
        <is>
          <t>按注册局要求提交主体信息；未实名域名会被停止解析</t>
        </is>
      </c>
      <c r="F17" s="32" t="inlineStr">
        <is>
          <t>13</t>
        </is>
      </c>
      <c r="G17" s="32" t="inlineStr">
        <is>
          <t>项目负责人</t>
        </is>
      </c>
      <c r="H17" s="32" t="inlineStr">
        <is>
          <t>T-3 前置</t>
        </is>
      </c>
      <c r="I17" s="32" t="inlineStr">
        <is>
          <t>1–2 工作日（等待）</t>
        </is>
      </c>
      <c r="J17" s="32" t="inlineStr">
        <is>
          <t>★ 门禁</t>
        </is>
      </c>
      <c r="K17" s="32" t="inlineStr">
        <is>
          <t>主体须与阿里云账号实名主体一致</t>
        </is>
      </c>
    </row>
    <row r="18" ht="18.75" customHeight="1" s="3">
      <c r="A18" s="48" t="inlineStr">
        <is>
          <t>15</t>
        </is>
      </c>
      <c r="B18" s="48" t="inlineStr">
        <is>
          <t>域名</t>
        </is>
      </c>
      <c r="C18" s="48" t="inlineStr">
        <is>
          <t>修改 NS 为阿里云云解析并验证生效</t>
        </is>
      </c>
      <c r="D18" s="48" t="inlineStr">
        <is>
          <t>域名注册商 / 云解析 DNS</t>
        </is>
      </c>
      <c r="E18" s="48" t="inlineStr">
        <is>
          <t>将 NS 指向阿里云国际站 DNS 服务器，并用 dig 验证权威解析生效</t>
        </is>
      </c>
      <c r="F18" s="48" t="inlineStr">
        <is>
          <t>13,14</t>
        </is>
      </c>
      <c r="G18" s="48" t="inlineStr">
        <is>
          <t>运维负责人</t>
        </is>
      </c>
      <c r="H18" s="48" t="inlineStr">
        <is>
          <t>T-3 前置</t>
        </is>
      </c>
      <c r="I18" s="48" t="inlineStr">
        <is>
          <t>生效 24–48h（等待）</t>
        </is>
      </c>
      <c r="J18" s="48" t="inlineStr">
        <is>
          <t>★ 门禁</t>
        </is>
      </c>
      <c r="K18" s="48" t="inlineStr">
        <is>
          <t>5 天工期下必须在 T-3 发起，否则 D1 接入层无法验证</t>
        </is>
      </c>
    </row>
    <row r="19">
      <c r="A19" s="32" t="inlineStr">
        <is>
          <t>16</t>
        </is>
      </c>
      <c r="B19" s="32" t="inlineStr">
        <is>
          <t>域名</t>
        </is>
      </c>
      <c r="C19" s="32" t="inlineStr">
        <is>
          <t>创建解析记录并接入 GTM</t>
        </is>
      </c>
      <c r="D19" s="32" t="inlineStr">
        <is>
          <t>GTM 控制台</t>
        </is>
      </c>
      <c r="E19" s="32" t="inlineStr">
        <is>
          <t>主地址池 = 马尼拉 ALB；备地址池 = 新加坡 ALB；HTTP 探测 /api/status，间隔 15s，切换 ≤ 60s</t>
        </is>
      </c>
      <c r="F19" s="32" t="inlineStr">
        <is>
          <t>15</t>
        </is>
      </c>
      <c r="G19" s="32" t="inlineStr">
        <is>
          <t>运维负责人</t>
        </is>
      </c>
      <c r="H19" s="32" t="inlineStr">
        <is>
          <t>D5 上午</t>
        </is>
      </c>
      <c r="I19" s="32" t="inlineStr">
        <is>
          <t>见落地计划 #21（D5 上午）</t>
        </is>
      </c>
      <c r="J19" s="32" t="inlineStr">
        <is>
          <t>—</t>
        </is>
      </c>
      <c r="K19" s="32" t="inlineStr">
        <is>
          <t>备 region 未验证通过前不得加入备地址池</t>
        </is>
      </c>
    </row>
    <row r="20" ht="18.75" customHeight="1" s="3">
      <c r="A20" s="48" t="inlineStr">
        <is>
          <t>17</t>
        </is>
      </c>
      <c r="B20" s="48" t="inlineStr">
        <is>
          <t>证书</t>
        </is>
      </c>
      <c r="C20" s="48" t="inlineStr">
        <is>
          <t>申请 SSL/TLS 通配符证书</t>
        </is>
      </c>
      <c r="D20" s="48" t="inlineStr">
        <is>
          <t>数字证书管理服务</t>
        </is>
      </c>
      <c r="E20" s="48" t="inlineStr">
        <is>
          <t>申请 *.likha.com（与「说明与总览」业务域名一致；原示例 *.example-ph.com 不覆盖 api.likha.com，已统一）；要求 TLS 1.2 + 1.3</t>
        </is>
      </c>
      <c r="F20" s="48" t="inlineStr">
        <is>
          <t>15</t>
        </is>
      </c>
      <c r="G20" s="48" t="inlineStr">
        <is>
          <t>运维负责人</t>
        </is>
      </c>
      <c r="H20" s="48" t="inlineStr">
        <is>
          <t>T-3 前置</t>
        </is>
      </c>
      <c r="I20" s="48" t="inlineStr">
        <is>
          <t>签发 1–24h（等待）</t>
        </is>
      </c>
      <c r="J20" s="48" t="inlineStr">
        <is>
          <t>★ 门禁</t>
        </is>
      </c>
      <c r="K20" s="48" t="inlineStr">
        <is>
          <t>私钥托管至 KMS，开启自动续期与 30 天到期告警</t>
        </is>
      </c>
    </row>
    <row r="21" ht="18.75" customHeight="1" s="3">
      <c r="A21" s="32" t="inlineStr">
        <is>
          <t>18</t>
        </is>
      </c>
      <c r="B21" s="32" t="inlineStr">
        <is>
          <t>证书</t>
        </is>
      </c>
      <c r="C21" s="32" t="inlineStr">
        <is>
          <t>证书部署到 ALB / WAF / DCDN</t>
        </is>
      </c>
      <c r="D21" s="32" t="inlineStr">
        <is>
          <t>控制台</t>
        </is>
      </c>
      <c r="E21" s="32" t="inlineStr">
        <is>
          <t>分别部署至马尼拉 ALB、新加坡 ALB、WAF、DCDN 域名</t>
        </is>
      </c>
      <c r="F21" s="32" t="inlineStr">
        <is>
          <t>17</t>
        </is>
      </c>
      <c r="G21" s="32" t="inlineStr">
        <is>
          <t>运维负责人</t>
        </is>
      </c>
      <c r="H21" s="32" t="inlineStr">
        <is>
          <t>D6 上午（ALB / WAF 创建后）</t>
        </is>
      </c>
      <c r="I21" s="32" t="inlineStr">
        <is>
          <t>见落地计划 #40</t>
        </is>
      </c>
      <c r="J21" s="32" t="inlineStr">
        <is>
          <t>—</t>
        </is>
      </c>
      <c r="K21" s="32" t="inlineStr">
        <is>
          <t>到期前 30 天自动续期并回归验证</t>
        </is>
      </c>
    </row>
    <row r="22" ht="18.75" customHeight="1" s="3">
      <c r="A22" s="48" t="inlineStr">
        <is>
          <t>19</t>
        </is>
      </c>
      <c r="B22" s="48" t="inlineStr">
        <is>
          <t>通知</t>
        </is>
      </c>
      <c r="C22" s="48" t="inlineStr">
        <is>
          <t>配置告警通道与联系人</t>
        </is>
      </c>
      <c r="D22" s="48" t="inlineStr">
        <is>
          <t>云监控 / ARMS</t>
        </is>
      </c>
      <c r="E22" s="48" t="inlineStr">
        <is>
          <t>钉钉或企业微信机器人 + 短信 + 电话；P1 走电话并建立值班表</t>
        </is>
      </c>
      <c r="F22" s="48" t="inlineStr">
        <is>
          <t>11</t>
        </is>
      </c>
      <c r="G22" s="48" t="inlineStr">
        <is>
          <t>运维负责人</t>
        </is>
      </c>
      <c r="H22" s="48" t="inlineStr">
        <is>
          <t>D7 上午</t>
        </is>
      </c>
      <c r="I22" s="48" t="inlineStr">
        <is>
          <t>见落地计划 #32</t>
        </is>
      </c>
      <c r="J22" s="48" t="inlineStr">
        <is>
          <t>—</t>
        </is>
      </c>
      <c r="K22" s="48" t="inlineStr">
        <is>
          <t>告警联系人须包含 2 名执行人与项目负责人</t>
        </is>
      </c>
    </row>
    <row r="24" ht="14.25" customHeight="1" s="3">
      <c r="C24" s="50" t="inlineStr">
        <is>
          <t>★ 门禁项共 12 项（J 列标 ★ 的行），全部为前期等待型前置：其中 #1/#2/#3/#5/#7–#10/#13–#15/#17 为 T-5 前置，#7 的新加坡配额补充与代码侧补建（G8）为 T-3 前置。★ 项与门禁清单 G1–G13 的一一映射见「落地计划」门禁清单「门禁作用」列。G0 门禁未通过则 D1 不得启动。</t>
        </is>
      </c>
    </row>
  </sheetData>
  <autoFilter ref="A3:K22"/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2"/>
  <sheetViews>
    <sheetView showGridLines="1" workbookViewId="0">
      <pane xSplit="2" ySplit="3" topLeftCell="C4" activePane="bottomRight" state="frozen"/>
      <selection activeCell="A1" sqref="A1"/>
    </sheetView>
  </sheetViews>
  <sheetFormatPr baseColWidth="8" defaultColWidth="9" defaultRowHeight="13.5"/>
  <cols>
    <col width="6" customWidth="1" style="3" min="1" max="1"/>
    <col width="9" customWidth="1" style="3" min="2" max="2"/>
    <col width="24" customWidth="1" style="3" min="3" max="4"/>
    <col width="7" customWidth="1" style="3" min="5" max="5"/>
    <col width="30" customWidth="1" style="3" min="6" max="6"/>
    <col width="20" customWidth="1" style="3" min="7" max="7"/>
    <col width="58" customWidth="1" style="3" min="8" max="8"/>
    <col width="11" customWidth="1" style="3" min="9" max="10"/>
    <col width="7" customWidth="1" style="3" min="11" max="11"/>
    <col width="8" customWidth="1" style="3" min="12" max="12"/>
    <col width="40" customWidth="1" style="3" min="13" max="13"/>
  </cols>
  <sheetData>
    <row r="1" ht="24" customHeight="1" s="3">
      <c r="A1" s="46" t="inlineStr">
        <is>
          <t>菲律宾主站点资源清单 · ap-southeast-6（马尼拉）</t>
        </is>
      </c>
    </row>
    <row r="3" ht="30" customHeight="1" s="3">
      <c r="A3" s="47" t="inlineStr">
        <is>
          <t>序号</t>
        </is>
      </c>
      <c r="B3" s="47" t="inlineStr">
        <is>
          <t>层</t>
        </is>
      </c>
      <c r="C3" s="47" t="inlineStr">
        <is>
          <t>资源 / 产品</t>
        </is>
      </c>
      <c r="D3" s="47" t="inlineStr">
        <is>
          <t>规格与版本</t>
        </is>
      </c>
      <c r="E3" s="47" t="inlineStr">
        <is>
          <t>数量</t>
        </is>
      </c>
      <c r="F3" s="47" t="inlineStr">
        <is>
          <t>命名规范</t>
        </is>
      </c>
      <c r="G3" s="47" t="inlineStr">
        <is>
          <t>地域 / 可用区</t>
        </is>
      </c>
      <c r="H3" s="47" t="inlineStr">
        <is>
          <t>关键配置</t>
        </is>
      </c>
      <c r="I3" s="47" t="inlineStr">
        <is>
          <t>前置依赖</t>
        </is>
      </c>
      <c r="J3" s="47" t="inlineStr">
        <is>
          <t>申请方式</t>
        </is>
      </c>
      <c r="K3" s="47" t="inlineStr">
        <is>
          <t>落地日</t>
        </is>
      </c>
      <c r="L3" s="47" t="inlineStr">
        <is>
          <t>负责</t>
        </is>
      </c>
      <c r="M3" s="47" t="inlineStr">
        <is>
          <t>备注</t>
        </is>
      </c>
    </row>
    <row r="4" ht="18.75" customHeight="1" s="3">
      <c r="A4" s="48" t="inlineStr">
        <is>
          <t>1</t>
        </is>
      </c>
      <c r="B4" s="48" t="inlineStr">
        <is>
          <t>网络</t>
        </is>
      </c>
      <c r="C4" s="48" t="inlineStr">
        <is>
          <t>VPC</t>
        </is>
      </c>
      <c r="D4" s="48" t="inlineStr">
        <is>
          <t>10.0.0.0/16</t>
        </is>
      </c>
      <c r="E4" s="48" t="n">
        <v>1</v>
      </c>
      <c r="F4" s="48" t="inlineStr">
        <is>
          <t>vpc-newapi-mnl-prod</t>
        </is>
      </c>
      <c r="G4" s="48" t="inlineStr">
        <is>
          <t>ap-southeast-6</t>
        </is>
      </c>
      <c r="H4" s="48" t="inlineStr">
        <is>
          <t>单 VPC；开启 DNS 主机名解析；VPC 流日志投递 SLS</t>
        </is>
      </c>
      <c r="I4" s="48" t="inlineStr">
        <is>
          <t>—</t>
        </is>
      </c>
      <c r="J4" s="48" t="inlineStr">
        <is>
          <t>控制台/IaC</t>
        </is>
      </c>
      <c r="K4" s="48" t="inlineStr">
        <is>
          <t>D1</t>
        </is>
      </c>
      <c r="L4" s="48" t="inlineStr">
        <is>
          <t>人员A</t>
        </is>
      </c>
      <c r="M4" s="48" t="inlineStr">
        <is>
          <t>与新加坡网段不重叠</t>
        </is>
      </c>
    </row>
    <row r="5" ht="18.75" customHeight="1" s="3">
      <c r="A5" s="32" t="inlineStr">
        <is>
          <t>2</t>
        </is>
      </c>
      <c r="B5" s="32" t="inlineStr">
        <is>
          <t>网络</t>
        </is>
      </c>
      <c r="C5" s="32" t="inlineStr">
        <is>
          <t>vSwitch（公共）</t>
        </is>
      </c>
      <c r="D5" s="32" t="inlineStr">
        <is>
          <t>2 × /24</t>
        </is>
      </c>
      <c r="E5" s="32" t="n">
        <v>2</v>
      </c>
      <c r="F5" s="32" t="inlineStr">
        <is>
          <t>vsw-mnl-pub-a / vsw-mnl-pub-b</t>
        </is>
      </c>
      <c r="G5" s="32" t="inlineStr">
        <is>
          <t>可用区 A / B</t>
        </is>
      </c>
      <c r="H5" s="32" t="inlineStr">
        <is>
          <t>ALB 与 NAT 网关使用</t>
        </is>
      </c>
      <c r="I5" s="32" t="inlineStr">
        <is>
          <t>1</t>
        </is>
      </c>
      <c r="J5" s="32" t="inlineStr">
        <is>
          <t>控制台/IaC</t>
        </is>
      </c>
      <c r="K5" s="32" t="inlineStr">
        <is>
          <t>D1</t>
        </is>
      </c>
      <c r="L5" s="32" t="inlineStr">
        <is>
          <t>人员A</t>
        </is>
      </c>
      <c r="M5" s="32" t="inlineStr">
        <is>
          <t>多可用区是高可用前提</t>
        </is>
      </c>
    </row>
    <row r="6" ht="18.75" customHeight="1" s="3">
      <c r="A6" s="48" t="inlineStr">
        <is>
          <t>3</t>
        </is>
      </c>
      <c r="B6" s="48" t="inlineStr">
        <is>
          <t>网络</t>
        </is>
      </c>
      <c r="C6" s="48" t="inlineStr">
        <is>
          <t>vSwitch（私有）</t>
        </is>
      </c>
      <c r="D6" s="48" t="inlineStr">
        <is>
          <t>4 × /20</t>
        </is>
      </c>
      <c r="E6" s="48" t="n">
        <v>4</v>
      </c>
      <c r="F6" s="48" t="inlineStr">
        <is>
          <t>vsw-mnl-app-a/b、vsw-mnl-data-a/b</t>
        </is>
      </c>
      <c r="G6" s="48" t="inlineStr">
        <is>
          <t>跨 2 个可用区</t>
        </is>
      </c>
      <c r="H6" s="48" t="inlineStr">
        <is>
          <t>Pod 使用 app 网段，RDS 使用 data 网段</t>
        </is>
      </c>
      <c r="I6" s="48" t="inlineStr">
        <is>
          <t>1</t>
        </is>
      </c>
      <c r="J6" s="48" t="inlineStr">
        <is>
          <t>控制台/IaC</t>
        </is>
      </c>
      <c r="K6" s="48" t="inlineStr">
        <is>
          <t>D1</t>
        </is>
      </c>
      <c r="L6" s="48" t="inlineStr">
        <is>
          <t>人员A</t>
        </is>
      </c>
      <c r="M6" s="48" t="inlineStr">
        <is>
          <t>Pod 与数据库分网段便于隔离</t>
        </is>
      </c>
    </row>
    <row r="7" ht="18.75" customHeight="1" s="3">
      <c r="A7" s="32" t="inlineStr">
        <is>
          <t>4</t>
        </is>
      </c>
      <c r="B7" s="32" t="inlineStr">
        <is>
          <t>网络</t>
        </is>
      </c>
      <c r="C7" s="32" t="inlineStr">
        <is>
          <t>NAT 网关</t>
        </is>
      </c>
      <c r="D7" s="32" t="inlineStr">
        <is>
          <t>多可用区</t>
        </is>
      </c>
      <c r="E7" s="32" t="n">
        <v>1</v>
      </c>
      <c r="F7" s="32" t="inlineStr">
        <is>
          <t>nat-mnl-prod</t>
        </is>
      </c>
      <c r="G7" s="32" t="inlineStr">
        <is>
          <t>跨 2 个可用区</t>
        </is>
      </c>
      <c r="H7" s="32" t="inlineStr">
        <is>
          <t>绑定固定 EIP 池；仅私有子网可出网</t>
        </is>
      </c>
      <c r="I7" s="32" t="inlineStr">
        <is>
          <t>1</t>
        </is>
      </c>
      <c r="J7" s="32" t="inlineStr">
        <is>
          <t>控制台/IaC</t>
        </is>
      </c>
      <c r="K7" s="32" t="inlineStr">
        <is>
          <t>D1</t>
        </is>
      </c>
      <c r="L7" s="32" t="inlineStr">
        <is>
          <t>人员A</t>
        </is>
      </c>
      <c r="M7" s="32" t="inlineStr">
        <is>
          <t>供应商 IP 白名单依赖固定 EIP</t>
        </is>
      </c>
    </row>
    <row r="8" ht="18.75" customHeight="1" s="3">
      <c r="A8" s="48" t="inlineStr">
        <is>
          <t>5</t>
        </is>
      </c>
      <c r="B8" s="48" t="inlineStr">
        <is>
          <t>网络</t>
        </is>
      </c>
      <c r="C8" s="48" t="inlineStr">
        <is>
          <t>EIP（上游出口白名单池）</t>
        </is>
      </c>
      <c r="D8" s="48" t="inlineStr">
        <is>
          <t>≥ 4 个</t>
        </is>
      </c>
      <c r="E8" s="48" t="n">
        <v>4</v>
      </c>
      <c r="F8" s="48" t="inlineStr">
        <is>
          <t>eip-mnl-upstream-01..04</t>
        </is>
      </c>
      <c r="G8" s="48" t="inlineStr">
        <is>
          <t>多可用区</t>
        </is>
      </c>
      <c r="H8" s="48" t="inlineStr">
        <is>
          <t>绑定 NAT 网关；用于供应商白名单（本次出口直出、不启用 GA）</t>
        </is>
      </c>
      <c r="I8" s="48" t="inlineStr">
        <is>
          <t>4</t>
        </is>
      </c>
      <c r="J8" s="48" t="inlineStr">
        <is>
          <t>控制台/IaC</t>
        </is>
      </c>
      <c r="K8" s="48" t="inlineStr">
        <is>
          <t>D1</t>
        </is>
      </c>
      <c r="L8" s="48" t="inlineStr">
        <is>
          <t>人员A</t>
        </is>
      </c>
      <c r="M8" s="48" t="inlineStr">
        <is>
          <t>同一池也是备 region 访问 RDS 的白名单来源；8 个 EIP 均须提交上游并确认生效</t>
        </is>
      </c>
    </row>
    <row r="9" ht="18.75" customHeight="1" s="3">
      <c r="A9" s="32" t="inlineStr">
        <is>
          <t>6</t>
        </is>
      </c>
      <c r="B9" s="32" t="inlineStr">
        <is>
          <t>接入</t>
        </is>
      </c>
      <c r="C9" s="32" t="inlineStr">
        <is>
          <t>ALB</t>
        </is>
      </c>
      <c r="D9" s="32" t="inlineStr">
        <is>
          <t>标准版 II</t>
        </is>
      </c>
      <c r="E9" s="32" t="n">
        <v>1</v>
      </c>
      <c r="F9" s="32" t="inlineStr">
        <is>
          <t>alb-newapi-mnl</t>
        </is>
      </c>
      <c r="G9" s="32" t="inlineStr">
        <is>
          <t>跨 2 个可用区</t>
        </is>
      </c>
      <c r="H9" s="32" t="inlineStr">
        <is>
          <t>listeners 80（301）/ 443；idleTimeout=60s；requestTimeout=180s；TLS 1.2+1.3</t>
        </is>
      </c>
      <c r="I9" s="32" t="inlineStr">
        <is>
          <t>2,17(前置)</t>
        </is>
      </c>
      <c r="J9" s="32" t="inlineStr">
        <is>
          <t>控制台/IaC</t>
        </is>
      </c>
      <c r="K9" s="32" t="inlineStr">
        <is>
          <t>D3</t>
        </is>
      </c>
      <c r="L9" s="32" t="inlineStr">
        <is>
          <t>人员A</t>
        </is>
      </c>
      <c r="M9" s="32" t="inlineStr">
        <is>
          <t>SSE 靠网关 ping（15–20s）保活</t>
        </is>
      </c>
    </row>
    <row r="10" ht="18.75" customHeight="1" s="3">
      <c r="A10" s="48" t="inlineStr">
        <is>
          <t>7</t>
        </is>
      </c>
      <c r="B10" s="48" t="inlineStr">
        <is>
          <t>接入</t>
        </is>
      </c>
      <c r="C10" s="48" t="inlineStr">
        <is>
          <t>WAF 3.0</t>
        </is>
      </c>
      <c r="D10" s="48" t="inlineStr">
        <is>
          <t>企业版</t>
        </is>
      </c>
      <c r="E10" s="48" t="n">
        <v>1</v>
      </c>
      <c r="F10" s="48" t="inlineStr">
        <is>
          <t>waf-newapi-mnl</t>
        </is>
      </c>
      <c r="G10" s="48" t="inlineStr">
        <is>
          <t>马尼拉</t>
        </is>
      </c>
      <c r="H10" s="48" t="inlineStr">
        <is>
          <t>接入 api.likha.com；CC 阈值对齐 GLOBAL_API_RATE_LIMIT；放行支付回调路径并限定回调源 IP 段</t>
        </is>
      </c>
      <c r="I10" s="48" t="inlineStr">
        <is>
          <t>6</t>
        </is>
      </c>
      <c r="J10" s="48" t="inlineStr">
        <is>
          <t>控制台</t>
        </is>
      </c>
      <c r="K10" s="48" t="inlineStr">
        <is>
          <t>D3</t>
        </is>
      </c>
      <c r="L10" s="48" t="inlineStr">
        <is>
          <t>人员A</t>
        </is>
      </c>
      <c r="M10" s="48" t="inlineStr">
        <is>
          <t>抗 L7</t>
        </is>
      </c>
    </row>
    <row r="11" ht="18.75" customHeight="1" s="3">
      <c r="A11" s="32" t="inlineStr">
        <is>
          <t>8</t>
        </is>
      </c>
      <c r="B11" s="32" t="inlineStr">
        <is>
          <t>接入</t>
        </is>
      </c>
      <c r="C11" s="32" t="inlineStr">
        <is>
          <t>云解析 DNS</t>
        </is>
      </c>
      <c r="D11" s="32" t="inlineStr">
        <is>
          <t>旗舰版</t>
        </is>
      </c>
      <c r="E11" s="32" t="n">
        <v>1</v>
      </c>
      <c r="F11" s="32" t="inlineStr">
        <is>
          <t>—</t>
        </is>
      </c>
      <c r="G11" s="32" t="inlineStr">
        <is>
          <t>全球</t>
        </is>
      </c>
      <c r="H11" s="32" t="inlineStr">
        <is>
          <t>承载主域名与子域名解析</t>
        </is>
      </c>
      <c r="I11" s="32" t="inlineStr">
        <is>
          <t>15(前置)</t>
        </is>
      </c>
      <c r="J11" s="32" t="inlineStr">
        <is>
          <t>控制台</t>
        </is>
      </c>
      <c r="K11" s="32" t="inlineStr">
        <is>
          <t>D1</t>
        </is>
      </c>
      <c r="L11" s="32" t="inlineStr">
        <is>
          <t>人员A</t>
        </is>
      </c>
      <c r="M11" s="32" t="inlineStr">
        <is>
          <t>与 GTM 配合完成按延迟解析</t>
        </is>
      </c>
    </row>
    <row r="12" ht="18.75" customHeight="1" s="3">
      <c r="A12" s="48" t="inlineStr">
        <is>
          <t>9</t>
        </is>
      </c>
      <c r="B12" s="48" t="inlineStr">
        <is>
          <t>接入</t>
        </is>
      </c>
      <c r="C12" s="48" t="inlineStr">
        <is>
          <t>全局流量管理 GTM</t>
        </is>
      </c>
      <c r="D12" s="48" t="inlineStr">
        <is>
          <t>旗舰版</t>
        </is>
      </c>
      <c r="E12" s="48" t="n">
        <v>1</v>
      </c>
      <c r="F12" s="48" t="inlineStr">
        <is>
          <t>gtm-newapi-ph</t>
        </is>
      </c>
      <c r="G12" s="48" t="inlineStr">
        <is>
          <t>全球</t>
        </is>
      </c>
      <c r="H12" s="48" t="inlineStr">
        <is>
          <t>主地址池 = 马尼拉 ALB；备地址池 = 新加坡 ALB；探测 /api/status 每 15s</t>
        </is>
      </c>
      <c r="I12" s="48" t="inlineStr">
        <is>
          <t>6,17(前置)</t>
        </is>
      </c>
      <c r="J12" s="48" t="inlineStr">
        <is>
          <t>控制台</t>
        </is>
      </c>
      <c r="K12" s="48" t="inlineStr">
        <is>
          <t>D3</t>
        </is>
      </c>
      <c r="L12" s="48" t="inlineStr">
        <is>
          <t>人员A</t>
        </is>
      </c>
      <c r="M12" s="48" t="inlineStr">
        <is>
          <t>故障切换目标 ≤ 60s</t>
        </is>
      </c>
    </row>
    <row r="13" ht="18.75" customHeight="1" s="3">
      <c r="A13" s="32" t="inlineStr">
        <is>
          <t>10</t>
        </is>
      </c>
      <c r="B13" s="32" t="inlineStr">
        <is>
          <t>接入</t>
        </is>
      </c>
      <c r="C13" s="32" t="inlineStr">
        <is>
          <t>DCDN</t>
        </is>
      </c>
      <c r="D13" s="32" t="inlineStr">
        <is>
          <t>按量付费</t>
        </is>
      </c>
      <c r="E13" s="32" t="n">
        <v>1</v>
      </c>
      <c r="F13" s="32" t="inlineStr">
        <is>
          <t>dcdn-newapi-ph</t>
        </is>
      </c>
      <c r="G13" s="32" t="inlineStr">
        <is>
          <t>全球</t>
        </is>
      </c>
      <c r="H13" s="32" t="inlineStr">
        <is>
          <t>静态资源加速；index.html no-cache；带指纹 chunk 缓存 7 天</t>
        </is>
      </c>
      <c r="I13" s="32" t="inlineStr">
        <is>
          <t>17(前置)</t>
        </is>
      </c>
      <c r="J13" s="32" t="inlineStr">
        <is>
          <t>控制台</t>
        </is>
      </c>
      <c r="K13" s="32" t="inlineStr">
        <is>
          <t>D2</t>
        </is>
      </c>
      <c r="L13" s="32" t="inlineStr">
        <is>
          <t>人员A</t>
        </is>
      </c>
      <c r="M13" s="32" t="inlineStr">
        <is>
          <t>可按裁剪预案延后</t>
        </is>
      </c>
    </row>
    <row r="14" ht="18.75" customHeight="1" s="3">
      <c r="A14" s="48" t="inlineStr">
        <is>
          <t>11</t>
        </is>
      </c>
      <c r="B14" s="48" t="inlineStr">
        <is>
          <t>计算</t>
        </is>
      </c>
      <c r="C14" s="48" t="inlineStr">
        <is>
          <t>ACK Pro 托管版</t>
        </is>
      </c>
      <c r="D14" s="48" t="inlineStr">
        <is>
          <t>控制面 SLA 99.95%</t>
        </is>
      </c>
      <c r="E14" s="48" t="n">
        <v>1</v>
      </c>
      <c r="F14" s="48" t="inlineStr">
        <is>
          <t>ack-newapi-mnl</t>
        </is>
      </c>
      <c r="G14" s="48" t="inlineStr">
        <is>
          <t>多可用区</t>
        </is>
      </c>
      <c r="H14" s="48" t="inlineStr">
        <is>
          <t>Kubernetes 1.31+；CNI Terway；开启 RRSA</t>
        </is>
      </c>
      <c r="I14" s="48" t="inlineStr">
        <is>
          <t>7(前置)</t>
        </is>
      </c>
      <c r="J14" s="48" t="inlineStr">
        <is>
          <t>控制台</t>
        </is>
      </c>
      <c r="K14" s="48" t="inlineStr">
        <is>
          <t>D2</t>
        </is>
      </c>
      <c r="L14" s="48" t="inlineStr">
        <is>
          <t>人员A</t>
        </is>
      </c>
      <c r="M14" s="48" t="inlineStr">
        <is>
          <t>需 ACK 配额已批复</t>
        </is>
      </c>
    </row>
    <row r="15" ht="18.75" customHeight="1" s="3">
      <c r="A15" s="32" t="inlineStr">
        <is>
          <t>12</t>
        </is>
      </c>
      <c r="B15" s="32" t="inlineStr">
        <is>
          <t>计算</t>
        </is>
      </c>
      <c r="C15" s="32" t="inlineStr">
        <is>
          <t>ECS 节点池</t>
        </is>
      </c>
      <c r="D15" s="32" t="inlineStr">
        <is>
          <t>g8i.2xlarge（8C32G）</t>
        </is>
      </c>
      <c r="E15" s="32" t="inlineStr">
        <is>
          <t>≥ 4</t>
        </is>
      </c>
      <c r="F15" s="32" t="inlineStr">
        <is>
          <t>ecs-mnl-node-01..04</t>
        </is>
      </c>
      <c r="G15" s="32" t="inlineStr">
        <is>
          <t>跨 2 个可用区</t>
        </is>
      </c>
      <c r="H15" s="32" t="inlineStr">
        <is>
          <t>系统盘 100G ESSD PL1 + 数据盘 300G ESSD；nofile=200000</t>
        </is>
      </c>
      <c r="I15" s="32" t="inlineStr">
        <is>
          <t>11</t>
        </is>
      </c>
      <c r="J15" s="32" t="inlineStr">
        <is>
          <t>控制台</t>
        </is>
      </c>
      <c r="K15" s="32" t="inlineStr">
        <is>
          <t>D2</t>
        </is>
      </c>
      <c r="L15" s="32" t="inlineStr">
        <is>
          <t>人员A</t>
        </is>
      </c>
      <c r="M15" s="32" t="inlineStr">
        <is>
          <t>HPA min 4 / max 16（Pod request 2 vCPU / 4 GiB）；节点池开启自动伸缩 min 4 / max 8；单 AZ 故障仍有 2 副本</t>
        </is>
      </c>
    </row>
    <row r="16" ht="18.75" customHeight="1" s="3">
      <c r="A16" s="48" t="inlineStr">
        <is>
          <t>13</t>
        </is>
      </c>
      <c r="B16" s="48" t="inlineStr">
        <is>
          <t>计算</t>
        </is>
      </c>
      <c r="C16" s="48" t="inlineStr">
        <is>
          <t>ACR 企业版（马尼拉）</t>
        </is>
      </c>
      <c r="D16" s="48" t="inlineStr">
        <is>
          <t>企业版实例</t>
        </is>
      </c>
      <c r="E16" s="48" t="n">
        <v>1</v>
      </c>
      <c r="F16" s="48" t="inlineStr">
        <is>
          <t>acr-newapi-mnl</t>
        </is>
      </c>
      <c r="G16" s="48" t="inlineStr">
        <is>
          <t>ap-southeast-6</t>
        </is>
      </c>
      <c r="H16" s="48" t="inlineStr">
        <is>
          <t>VPC 域名供集群拉取；开启镜像扫描与签名</t>
        </is>
      </c>
      <c r="I16" s="48" t="inlineStr">
        <is>
          <t>12(前置)</t>
        </is>
      </c>
      <c r="J16" s="48" t="inlineStr">
        <is>
          <t>控制台</t>
        </is>
      </c>
      <c r="K16" s="48" t="inlineStr">
        <is>
          <t>D2</t>
        </is>
      </c>
      <c r="L16" s="48" t="inlineStr">
        <is>
          <t>人员B</t>
        </is>
      </c>
      <c r="M16" s="48" t="inlineStr">
        <is>
          <t>镜像 tag = git sha</t>
        </is>
      </c>
    </row>
    <row r="17" ht="18.75" customHeight="1" s="3">
      <c r="A17" s="32" t="inlineStr">
        <is>
          <t>14</t>
        </is>
      </c>
      <c r="B17" s="32" t="inlineStr">
        <is>
          <t>数据</t>
        </is>
      </c>
      <c r="C17" s="32" t="inlineStr">
        <is>
          <t>RDS PostgreSQL 高可用版</t>
        </is>
      </c>
      <c r="D17" s="32" t="inlineStr">
        <is>
          <t>pg 15，16C64G</t>
        </is>
      </c>
      <c r="E17" s="32" t="n">
        <v>1</v>
      </c>
      <c r="F17" s="32" t="inlineStr">
        <is>
          <t>rds-mnl-newapi</t>
        </is>
      </c>
      <c r="G17" s="32" t="inlineStr">
        <is>
          <t>主 A 备 B（跨可用区）</t>
        </is>
      </c>
      <c r="H17" s="32" t="inlineStr">
        <is>
          <t>PITR 7 天；每日全量 + WAL 归档 OSS；开启公网地址但仅放行新加坡 NAT EIP</t>
        </is>
      </c>
      <c r="I17" s="32" t="inlineStr">
        <is>
          <t>9(前置)</t>
        </is>
      </c>
      <c r="J17" s="32" t="inlineStr">
        <is>
          <t>控制台/IaC</t>
        </is>
      </c>
      <c r="K17" s="32" t="inlineStr">
        <is>
          <t>D1</t>
        </is>
      </c>
      <c r="L17" s="32" t="inlineStr">
        <is>
          <t>人员B</t>
        </is>
      </c>
      <c r="M17" s="32" t="inlineStr">
        <is>
          <t>菲律宾唯一主库</t>
        </is>
      </c>
    </row>
    <row r="18" ht="18.75" customHeight="1" s="3">
      <c r="A18" s="48" t="inlineStr">
        <is>
          <t>15</t>
        </is>
      </c>
      <c r="B18" s="48" t="inlineStr">
        <is>
          <t>数据</t>
        </is>
      </c>
      <c r="C18" s="48" t="inlineStr">
        <is>
          <t>RDS 账号与数据库</t>
        </is>
      </c>
      <c r="D18" s="48" t="inlineStr">
        <is>
          <t>—</t>
        </is>
      </c>
      <c r="E18" s="48" t="n">
        <v>2</v>
      </c>
      <c r="F18" s="48" t="inlineStr">
        <is>
          <t>newapi / newapi_sg</t>
        </is>
      </c>
      <c r="G18" s="48" t="inlineStr">
        <is>
          <t>马尼拉</t>
        </is>
      </c>
      <c r="H18" s="48" t="inlineStr">
        <is>
          <t>newapi：应用主账号；newapi_sg：备 region 接管账号（最小权限）</t>
        </is>
      </c>
      <c r="I18" s="48" t="inlineStr">
        <is>
          <t>14</t>
        </is>
      </c>
      <c r="J18" s="48" t="inlineStr">
        <is>
          <t>控制台</t>
        </is>
      </c>
      <c r="K18" s="48" t="inlineStr">
        <is>
          <t>D2</t>
        </is>
      </c>
      <c r="L18" s="48" t="inlineStr">
        <is>
          <t>人员B</t>
        </is>
      </c>
      <c r="M18" s="48" t="inlineStr">
        <is>
          <t>禁止与备 region 共用超级账号</t>
        </is>
      </c>
    </row>
    <row r="19" ht="18.75" customHeight="1" s="3">
      <c r="A19" s="32" t="inlineStr">
        <is>
          <t>16</t>
        </is>
      </c>
      <c r="B19" s="32" t="inlineStr">
        <is>
          <t>数据</t>
        </is>
      </c>
      <c r="C19" s="32" t="inlineStr">
        <is>
          <t>RDS 只读实例（可选）</t>
        </is>
      </c>
      <c r="D19" s="32" t="inlineStr">
        <is>
          <t>pg 15，同规格</t>
        </is>
      </c>
      <c r="E19" s="32" t="n">
        <v>1</v>
      </c>
      <c r="F19" s="32" t="inlineStr">
        <is>
          <t>rds-mnl-newapi-ro</t>
        </is>
      </c>
      <c r="G19" s="32" t="inlineStr">
        <is>
          <t>马尼拉</t>
        </is>
      </c>
      <c r="H19" s="32" t="inlineStr">
        <is>
          <t>报表与导出类查询分流</t>
        </is>
      </c>
      <c r="I19" s="32" t="inlineStr">
        <is>
          <t>14</t>
        </is>
      </c>
      <c r="J19" s="32" t="inlineStr">
        <is>
          <t>控制台</t>
        </is>
      </c>
      <c r="K19" s="32" t="inlineStr">
        <is>
          <t>D2</t>
        </is>
      </c>
      <c r="L19" s="32" t="inlineStr">
        <is>
          <t>人员B</t>
        </is>
      </c>
      <c r="M19" s="32" t="inlineStr">
        <is>
          <t>非必需，工期/成本紧张时按裁剪预案取消</t>
        </is>
      </c>
    </row>
    <row r="20" ht="18.75" customHeight="1" s="3">
      <c r="A20" s="48" t="inlineStr">
        <is>
          <t>17</t>
        </is>
      </c>
      <c r="B20" s="48" t="inlineStr">
        <is>
          <t>缓存</t>
        </is>
      </c>
      <c r="C20" s="48" t="inlineStr">
        <is>
          <t>Tair（Redis 兼容）</t>
        </is>
      </c>
      <c r="D20" s="48" t="inlineStr">
        <is>
          <t>主备版 4 GB</t>
        </is>
      </c>
      <c r="E20" s="48" t="n">
        <v>1</v>
      </c>
      <c r="F20" s="48" t="inlineStr">
        <is>
          <t>tair-mnl-newapi</t>
        </is>
      </c>
      <c r="G20" s="48" t="inlineStr">
        <is>
          <t>多可用区</t>
        </is>
      </c>
      <c r="H20" s="48" t="inlineStr">
        <is>
          <t>密码 + 内网 ACL；maxmemory-policy allkeys-lru</t>
        </is>
      </c>
      <c r="I20" s="48" t="inlineStr">
        <is>
          <t>4(前置)</t>
        </is>
      </c>
      <c r="J20" s="48" t="inlineStr">
        <is>
          <t>控制台</t>
        </is>
      </c>
      <c r="K20" s="48" t="inlineStr">
        <is>
          <t>D1</t>
        </is>
      </c>
      <c r="L20" s="48" t="inlineStr">
        <is>
          <t>人员B</t>
        </is>
      </c>
      <c r="M20" s="48" t="inlineStr">
        <is>
          <t>生产建议升级集群版</t>
        </is>
      </c>
    </row>
    <row r="21" ht="18.75" customHeight="1" s="3">
      <c r="A21" s="32" t="inlineStr">
        <is>
          <t>18</t>
        </is>
      </c>
      <c r="B21" s="32" t="inlineStr">
        <is>
          <t>日志</t>
        </is>
      </c>
      <c r="C21" s="32" t="inlineStr">
        <is>
          <t>云数据库 ClickHouse</t>
        </is>
      </c>
      <c r="D21" s="32" t="inlineStr">
        <is>
          <t>社区版 24.8，2 节点</t>
        </is>
      </c>
      <c r="E21" s="32" t="n">
        <v>1</v>
      </c>
      <c r="F21" s="32" t="inlineStr">
        <is>
          <t>ck-mnl-newapi</t>
        </is>
      </c>
      <c r="G21" s="32" t="inlineStr">
        <is>
          <t>马尼拉</t>
        </is>
      </c>
      <c r="H21" s="32" t="inlineStr">
        <is>
          <t>仅承载 LOG_SQL_DSN；TTL 90 天</t>
        </is>
      </c>
      <c r="I21" s="32" t="inlineStr">
        <is>
          <t>9(前置)</t>
        </is>
      </c>
      <c r="J21" s="32" t="inlineStr">
        <is>
          <t>控制台</t>
        </is>
      </c>
      <c r="K21" s="32" t="inlineStr">
        <is>
          <t>D1</t>
        </is>
      </c>
      <c r="L21" s="32" t="inlineStr">
        <is>
          <t>人员B</t>
        </is>
      </c>
      <c r="M21" s="32" t="inlineStr">
        <is>
          <t>写日志失败必须降级</t>
        </is>
      </c>
    </row>
    <row r="22" ht="18.75" customHeight="1" s="3">
      <c r="A22" s="48" t="inlineStr">
        <is>
          <t>19</t>
        </is>
      </c>
      <c r="B22" s="48" t="inlineStr">
        <is>
          <t>存储</t>
        </is>
      </c>
      <c r="C22" s="48" t="inlineStr">
        <is>
          <t>OSS Bucket</t>
        </is>
      </c>
      <c r="D22" s="48" t="inlineStr">
        <is>
          <t>标准 + 低频生命周期</t>
        </is>
      </c>
      <c r="E22" s="48" t="n">
        <v>1</v>
      </c>
      <c r="F22" s="48" t="inlineStr">
        <is>
          <t>oss-newapi-mnl</t>
        </is>
      </c>
      <c r="G22" s="48" t="inlineStr">
        <is>
          <t>马尼拉</t>
        </is>
      </c>
      <c r="H22" s="48" t="inlineStr">
        <is>
          <t>同城冗余 ZRS；版本控制；90 天转归档；防盗链 + 签名 URL</t>
        </is>
      </c>
      <c r="I22" s="48" t="inlineStr">
        <is>
          <t>12(前置)</t>
        </is>
      </c>
      <c r="J22" s="48" t="inlineStr">
        <is>
          <t>控制台</t>
        </is>
      </c>
      <c r="K22" s="48" t="inlineStr">
        <is>
          <t>D1</t>
        </is>
      </c>
      <c r="L22" s="48" t="inlineStr">
        <is>
          <t>人员B</t>
        </is>
      </c>
      <c r="M22" s="48" t="inlineStr">
        <is>
          <t>同时承载 RDS 备份归档</t>
        </is>
      </c>
    </row>
    <row r="23" ht="18.75" customHeight="1" s="3">
      <c r="A23" s="32" t="inlineStr">
        <is>
          <t>20</t>
        </is>
      </c>
      <c r="B23" s="32" t="inlineStr">
        <is>
          <t>安全</t>
        </is>
      </c>
      <c r="C23" s="32" t="inlineStr">
        <is>
          <t>KMS 凭据管家</t>
        </is>
      </c>
      <c r="D23" s="32" t="inlineStr">
        <is>
          <t>软件密钥</t>
        </is>
      </c>
      <c r="E23" s="32" t="n">
        <v>1</v>
      </c>
      <c r="F23" s="32" t="inlineStr">
        <is>
          <t>kms-newapi-mnl</t>
        </is>
      </c>
      <c r="G23" s="32" t="inlineStr">
        <is>
          <t>马尼拉</t>
        </is>
      </c>
      <c r="H23" s="32" t="inlineStr">
        <is>
          <t>托管 SQL_DSN、REDIS_CONN_STRING、SESSION_SECRET、支付渠道密钥</t>
        </is>
      </c>
      <c r="I23" s="32" t="inlineStr">
        <is>
          <t>10(前置)</t>
        </is>
      </c>
      <c r="J23" s="32" t="inlineStr">
        <is>
          <t>控制台</t>
        </is>
      </c>
      <c r="K23" s="32" t="inlineStr">
        <is>
          <t>D2</t>
        </is>
      </c>
      <c r="L23" s="32" t="inlineStr">
        <is>
          <t>人员B</t>
        </is>
      </c>
      <c r="M23" s="32" t="inlineStr">
        <is>
          <t>经 RRSA + ExternalSecret 注入，密钥不落 Git</t>
        </is>
      </c>
    </row>
    <row r="24" ht="18.75" customHeight="1" s="3">
      <c r="A24" s="48" t="inlineStr">
        <is>
          <t>21</t>
        </is>
      </c>
      <c r="B24" s="48" t="inlineStr">
        <is>
          <t>安全</t>
        </is>
      </c>
      <c r="C24" s="48" t="inlineStr">
        <is>
          <t>安全组与网络 ACL</t>
        </is>
      </c>
      <c r="D24" s="48" t="inlineStr">
        <is>
          <t>—</t>
        </is>
      </c>
      <c r="E24" s="48" t="inlineStr">
        <is>
          <t>—</t>
        </is>
      </c>
      <c r="F24" s="48" t="inlineStr">
        <is>
          <t>sg-mnl-alb / sg-mnl-app / sg-mnl-db</t>
        </is>
      </c>
      <c r="G24" s="48" t="inlineStr">
        <is>
          <t>马尼拉</t>
        </is>
      </c>
      <c r="H24" s="48" t="inlineStr">
        <is>
          <t>端口最小化，规则详见「网络与安全规划」</t>
        </is>
      </c>
      <c r="I24" s="48" t="inlineStr">
        <is>
          <t>2,3,12</t>
        </is>
      </c>
      <c r="J24" s="48" t="inlineStr">
        <is>
          <t>控制台</t>
        </is>
      </c>
      <c r="K24" s="48" t="inlineStr">
        <is>
          <t>D3</t>
        </is>
      </c>
      <c r="L24" s="48" t="inlineStr">
        <is>
          <t>人员A</t>
        </is>
      </c>
      <c r="M24" s="48" t="inlineStr">
        <is>
          <t>app 仅允许 ALB 访问 3000</t>
        </is>
      </c>
    </row>
    <row r="25" ht="18.75" customHeight="1" s="3">
      <c r="A25" s="32" t="inlineStr">
        <is>
          <t>22</t>
        </is>
      </c>
      <c r="B25" s="32" t="inlineStr">
        <is>
          <t>观测</t>
        </is>
      </c>
      <c r="C25" s="32" t="inlineStr">
        <is>
          <t>SLS Project / LogStore</t>
        </is>
      </c>
      <c r="D25" s="32" t="inlineStr">
        <is>
          <t>按量</t>
        </is>
      </c>
      <c r="E25" s="32" t="n">
        <v>1</v>
      </c>
      <c r="F25" s="32" t="inlineStr">
        <is>
          <t>sls-newapi-mnl</t>
        </is>
      </c>
      <c r="G25" s="32" t="inlineStr">
        <is>
          <t>马尼拉</t>
        </is>
      </c>
      <c r="H25" s="32" t="inlineStr">
        <is>
          <t>采集 /app/logs 与 stdout；sys 30 天 / audit 180 天</t>
        </is>
      </c>
      <c r="I25" s="32" t="inlineStr">
        <is>
          <t>11</t>
        </is>
      </c>
      <c r="J25" s="32" t="inlineStr">
        <is>
          <t>控制台</t>
        </is>
      </c>
      <c r="K25" s="32" t="inlineStr">
        <is>
          <t>D4</t>
        </is>
      </c>
      <c r="L25" s="32" t="inlineStr">
        <is>
          <t>人员A</t>
        </is>
      </c>
      <c r="M25" s="32" t="inlineStr">
        <is>
          <t>Logtail DaemonSet 采集</t>
        </is>
      </c>
    </row>
    <row r="26" ht="18.75" customHeight="1" s="3">
      <c r="A26" s="48" t="inlineStr">
        <is>
          <t>23</t>
        </is>
      </c>
      <c r="B26" s="48" t="inlineStr">
        <is>
          <t>观测</t>
        </is>
      </c>
      <c r="C26" s="48" t="inlineStr">
        <is>
          <t>ARMS Prometheus + 应用监控</t>
        </is>
      </c>
      <c r="D26" s="48" t="inlineStr">
        <is>
          <t>按量</t>
        </is>
      </c>
      <c r="E26" s="48" t="n">
        <v>1</v>
      </c>
      <c r="F26" s="48" t="inlineStr">
        <is>
          <t>arms-newapi-mnl</t>
        </is>
      </c>
      <c r="G26" s="48" t="inlineStr">
        <is>
          <t>马尼拉</t>
        </is>
      </c>
      <c r="H26" s="48" t="inlineStr">
        <is>
          <t>ServiceMonitor 抓 /metrics（需补建）；OpenTelemetry SDK（需补建）</t>
        </is>
      </c>
      <c r="I26" s="48" t="inlineStr">
        <is>
          <t>11</t>
        </is>
      </c>
      <c r="J26" s="48" t="inlineStr">
        <is>
          <t>控制台</t>
        </is>
      </c>
      <c r="K26" s="48" t="inlineStr">
        <is>
          <t>D4</t>
        </is>
      </c>
      <c r="L26" s="48" t="inlineStr">
        <is>
          <t>人员A</t>
        </is>
      </c>
      <c r="M26" s="48" t="inlineStr">
        <is>
          <t>代码补建项须在 T-3 完成（门禁 G8），否则临时用 /api/status 拨测</t>
        </is>
      </c>
    </row>
    <row r="27" ht="18.75" customHeight="1" s="3">
      <c r="A27" s="32" t="inlineStr">
        <is>
          <t>24</t>
        </is>
      </c>
      <c r="B27" s="32" t="inlineStr">
        <is>
          <t>观测</t>
        </is>
      </c>
      <c r="C27" s="32" t="inlineStr">
        <is>
          <t>云监控站点监控（拨测）</t>
        </is>
      </c>
      <c r="D27" s="32" t="inlineStr">
        <is>
          <t>按量</t>
        </is>
      </c>
      <c r="E27" s="32" t="n">
        <v>1</v>
      </c>
      <c r="F27" s="32" t="inlineStr">
        <is>
          <t>—</t>
        </is>
      </c>
      <c r="G27" s="32" t="inlineStr">
        <is>
          <t>马尼拉 + 新加坡 + 东京 + 香港</t>
        </is>
      </c>
      <c r="H27" s="32" t="inlineStr">
        <is>
          <t>探测 GET /api/status，间隔 1 分钟，断言 success:true 与版本匹配</t>
        </is>
      </c>
      <c r="I27" s="32" t="inlineStr">
        <is>
          <t>11(前置)</t>
        </is>
      </c>
      <c r="J27" s="32" t="inlineStr">
        <is>
          <t>控制台</t>
        </is>
      </c>
      <c r="K27" s="32" t="inlineStr">
        <is>
          <t>D4</t>
        </is>
      </c>
      <c r="L27" s="32" t="inlineStr">
        <is>
          <t>人员A</t>
        </is>
      </c>
      <c r="M27" s="32" t="inlineStr">
        <is>
          <t>真实用户视角可用性</t>
        </is>
      </c>
    </row>
    <row r="28" ht="18.75" customHeight="1" s="3">
      <c r="A28" s="48" t="inlineStr">
        <is>
          <t>25</t>
        </is>
      </c>
      <c r="B28" s="48" t="inlineStr">
        <is>
          <t>观测</t>
        </is>
      </c>
      <c r="C28" s="48" t="inlineStr">
        <is>
          <t>操作审计 ActionTrail</t>
        </is>
      </c>
      <c r="D28" s="48" t="inlineStr">
        <is>
          <t>默认</t>
        </is>
      </c>
      <c r="E28" s="48" t="n">
        <v>1</v>
      </c>
      <c r="F28" s="48" t="inlineStr">
        <is>
          <t>—</t>
        </is>
      </c>
      <c r="G28" s="48" t="inlineStr">
        <is>
          <t>马尼拉</t>
        </is>
      </c>
      <c r="H28" s="48" t="inlineStr">
        <is>
          <t>记录全部云 API 变更，保留 180 天；运维访问面另见 #38</t>
        </is>
      </c>
      <c r="I28" s="48" t="inlineStr">
        <is>
          <t>5(前置)</t>
        </is>
      </c>
      <c r="J28" s="48" t="inlineStr">
        <is>
          <t>控制台</t>
        </is>
      </c>
      <c r="K28" s="48" t="inlineStr">
        <is>
          <t>D1</t>
        </is>
      </c>
      <c r="L28" s="48" t="inlineStr">
        <is>
          <t>人员A</t>
        </is>
      </c>
      <c r="M28" s="48" t="inlineStr">
        <is>
          <t>合规与变更追溯</t>
        </is>
      </c>
    </row>
    <row r="29" ht="18.75" customHeight="1" s="3">
      <c r="A29" s="32" t="inlineStr">
        <is>
          <t>26</t>
        </is>
      </c>
      <c r="B29" s="32" t="inlineStr">
        <is>
          <t>工作负载</t>
        </is>
      </c>
      <c r="C29" s="32" t="inlineStr">
        <is>
          <t>master Deployment</t>
        </is>
      </c>
      <c r="D29" s="32" t="inlineStr">
        <is>
          <t>—</t>
        </is>
      </c>
      <c r="E29" s="32" t="n">
        <v>1</v>
      </c>
      <c r="F29" s="32" t="inlineStr">
        <is>
          <t>new-api-master</t>
        </is>
      </c>
      <c r="G29" s="32" t="inlineStr">
        <is>
          <t>马尼拉</t>
        </is>
      </c>
      <c r="H29" s="32" t="inlineStr">
        <is>
          <t>NODE_TYPE=master；replicas=1；Recreate；独立 PVC（RWO）；不接 ALB 流量</t>
        </is>
      </c>
      <c r="I29" s="32" t="inlineStr">
        <is>
          <t>11,14</t>
        </is>
      </c>
      <c r="J29" s="32" t="inlineStr">
        <is>
          <t>GitOps</t>
        </is>
      </c>
      <c r="K29" s="32" t="inlineStr">
        <is>
          <t>D2</t>
        </is>
      </c>
      <c r="L29" s="32" t="inlineStr">
        <is>
          <t>人员B</t>
        </is>
      </c>
      <c r="M29" s="32" t="inlineStr">
        <is>
          <t>唯一执行 AutoMigrate 与 master-only 任务的节点</t>
        </is>
      </c>
    </row>
    <row r="30" ht="18.75" customHeight="1" s="3">
      <c r="A30" s="48" t="inlineStr">
        <is>
          <t>27</t>
        </is>
      </c>
      <c r="B30" s="48" t="inlineStr">
        <is>
          <t>工作负载</t>
        </is>
      </c>
      <c r="C30" s="48" t="inlineStr">
        <is>
          <t>stable Deployment</t>
        </is>
      </c>
      <c r="D30" s="48" t="inlineStr">
        <is>
          <t>—</t>
        </is>
      </c>
      <c r="E30" s="48" t="n">
        <v>1</v>
      </c>
      <c r="F30" s="48" t="inlineStr">
        <is>
          <t>new-api-stable</t>
        </is>
      </c>
      <c r="G30" s="48" t="inlineStr">
        <is>
          <t>跨 2 个可用区</t>
        </is>
      </c>
      <c r="H30" s="48" t="inlineStr">
        <is>
          <t>replicas=4；maxUnavailable=0；PDB minAvailable=3；HPA 4–16；preStop sleep 15s</t>
        </is>
      </c>
      <c r="I30" s="48" t="inlineStr">
        <is>
          <t>26</t>
        </is>
      </c>
      <c r="J30" s="48" t="inlineStr">
        <is>
          <t>GitOps</t>
        </is>
      </c>
      <c r="K30" s="48" t="inlineStr">
        <is>
          <t>D3</t>
        </is>
      </c>
      <c r="L30" s="48" t="inlineStr">
        <is>
          <t>人员B</t>
        </is>
      </c>
      <c r="M30" s="48" t="inlineStr">
        <is>
          <t>滚动发布零停机是 99.95% 前提</t>
        </is>
      </c>
    </row>
    <row r="31" ht="18.75" customHeight="1" s="3">
      <c r="A31" s="32" t="inlineStr">
        <is>
          <t>28</t>
        </is>
      </c>
      <c r="B31" s="32" t="inlineStr">
        <is>
          <t>工作负载</t>
        </is>
      </c>
      <c r="C31" s="32" t="inlineStr">
        <is>
          <t>canary Deployment</t>
        </is>
      </c>
      <c r="D31" s="32" t="inlineStr">
        <is>
          <t>—</t>
        </is>
      </c>
      <c r="E31" s="32" t="n">
        <v>1</v>
      </c>
      <c r="F31" s="32" t="inlineStr">
        <is>
          <t>new-api-canary</t>
        </is>
      </c>
      <c r="G31" s="32" t="inlineStr">
        <is>
          <t>马尼拉</t>
        </is>
      </c>
      <c r="H31" s="32" t="inlineStr">
        <is>
          <t>replicas=1；独立 Service 与 Ingress；canary-weight 5→20→50→100</t>
        </is>
      </c>
      <c r="I31" s="32" t="inlineStr">
        <is>
          <t>26</t>
        </is>
      </c>
      <c r="J31" s="32" t="inlineStr">
        <is>
          <t>GitOps</t>
        </is>
      </c>
      <c r="K31" s="32" t="inlineStr">
        <is>
          <t>D4</t>
        </is>
      </c>
      <c r="L31" s="32" t="inlineStr">
        <is>
          <t>人员B</t>
        </is>
      </c>
      <c r="M31" s="32" t="inlineStr">
        <is>
          <t>灰度失败可秒级归零</t>
        </is>
      </c>
    </row>
    <row r="32" ht="18.75" customHeight="1" s="3">
      <c r="A32" s="48" t="inlineStr">
        <is>
          <t>29</t>
        </is>
      </c>
      <c r="B32" s="48" t="inlineStr">
        <is>
          <t>工作负载</t>
        </is>
      </c>
      <c r="C32" s="48" t="inlineStr">
        <is>
          <t>Namespace / ConfigMap / Secret</t>
        </is>
      </c>
      <c r="D32" s="48" t="inlineStr">
        <is>
          <t>—</t>
        </is>
      </c>
      <c r="E32" s="48" t="n">
        <v>1</v>
      </c>
      <c r="F32" s="48" t="inlineStr">
        <is>
          <t>namespace: new-api</t>
        </is>
      </c>
      <c r="G32" s="48" t="inlineStr">
        <is>
          <t>马尼拉</t>
        </is>
      </c>
      <c r="H32" s="48" t="inlineStr">
        <is>
          <t>见 impl_deploy.md 7.4.1；密钥由 KMS + ExternalSecret 注入</t>
        </is>
      </c>
      <c r="I32" s="48" t="inlineStr">
        <is>
          <t>20,11</t>
        </is>
      </c>
      <c r="J32" s="48" t="inlineStr">
        <is>
          <t>GitOps</t>
        </is>
      </c>
      <c r="K32" s="48" t="inlineStr">
        <is>
          <t>D2</t>
        </is>
      </c>
      <c r="L32" s="48" t="inlineStr">
        <is>
          <t>人员B</t>
        </is>
      </c>
      <c r="M32" s="48" t="inlineStr">
        <is>
          <t>SESSION_SECRET 必须全区域一致；轮换须走双密钥过渡（见动作 #55）</t>
        </is>
      </c>
    </row>
    <row r="33">
      <c r="A33" s="51" t="inlineStr">
        <is>
          <t>30</t>
        </is>
      </c>
      <c r="B33" s="41" t="inlineStr">
        <is>
          <t>计算</t>
        </is>
      </c>
      <c r="C33" s="41" t="inlineStr">
        <is>
          <t>PgBouncer / RDS 数据库代理</t>
        </is>
      </c>
      <c r="D33" s="41" t="inlineStr">
        <is>
          <t>自建 3 副本（复用 ACK 节点）或 RDS 代理独享型</t>
        </is>
      </c>
      <c r="E33" s="51" t="n">
        <v>1</v>
      </c>
      <c r="F33" s="41" t="inlineStr">
        <is>
          <t>pgbouncer-mnl</t>
        </is>
      </c>
      <c r="G33" s="41" t="inlineStr">
        <is>
          <t>马尼拉</t>
        </is>
      </c>
      <c r="H33" s="41" t="inlineStr">
        <is>
          <t>pool_mode=transaction；max_client_conn / default_pool_size 按连接数预算表；Service ClusterIP:5433；master 迁移路径直连不走池</t>
        </is>
      </c>
      <c r="I33" s="41" t="inlineStr">
        <is>
          <t>14,15</t>
        </is>
      </c>
      <c r="J33" s="41" t="inlineStr">
        <is>
          <t>GitOps</t>
        </is>
      </c>
      <c r="K33" s="41" t="inlineStr">
        <is>
          <t>D3</t>
        </is>
      </c>
      <c r="L33" s="51" t="inlineStr">
        <is>
          <t>人员B</t>
        </is>
      </c>
      <c r="M33" s="41" t="inlineStr">
        <is>
          <t>主站扩到 16 实例时必须启用（impl_deploy.md 7.4.5 / 8.5：300 × 16 = 4800 会打爆 PG）</t>
        </is>
      </c>
    </row>
    <row r="34">
      <c r="A34" s="51" t="inlineStr">
        <is>
          <t>31</t>
        </is>
      </c>
      <c r="B34" s="41" t="inlineStr">
        <is>
          <t>网络</t>
        </is>
      </c>
      <c r="C34" s="41" t="inlineStr">
        <is>
          <t>节点池自动伸缩（cluster-autoscaler）</t>
        </is>
      </c>
      <c r="D34" s="41" t="inlineStr">
        <is>
          <t>—</t>
        </is>
      </c>
      <c r="E34" s="51" t="n">
        <v>1</v>
      </c>
      <c r="F34" s="41" t="inlineStr">
        <is>
          <t>ca-mnl</t>
        </is>
      </c>
      <c r="G34" s="41" t="inlineStr">
        <is>
          <t>马尼拉</t>
        </is>
      </c>
      <c r="H34" s="41" t="inlineStr">
        <is>
          <t>min 4 / max 8（8 × 8 vCPU = 64，等于 ECS 配额上限）；扩容阈值与缩容冷却时间一并配置</t>
        </is>
      </c>
      <c r="I34" s="41" t="inlineStr">
        <is>
          <t>11</t>
        </is>
      </c>
      <c r="J34" s="41" t="inlineStr">
        <is>
          <t>GitOps</t>
        </is>
      </c>
      <c r="K34" s="41" t="inlineStr">
        <is>
          <t>D5</t>
        </is>
      </c>
      <c r="L34" s="51" t="inlineStr">
        <is>
          <t>人员A</t>
        </is>
      </c>
      <c r="M34" s="41" t="inlineStr">
        <is>
          <t>缺此组件时 HPA 扩到 16 会因无节点而 Pod Pending</t>
        </is>
      </c>
    </row>
    <row r="35">
      <c r="A35" s="51" t="inlineStr">
        <is>
          <t>32</t>
        </is>
      </c>
      <c r="B35" s="41" t="inlineStr">
        <is>
          <t>接入</t>
        </is>
      </c>
      <c r="C35" s="41" t="inlineStr">
        <is>
          <t>证书部署与 SNI 校验</t>
        </is>
      </c>
      <c r="D35" s="41" t="inlineStr">
        <is>
          <t>—</t>
        </is>
      </c>
      <c r="E35" s="51" t="n">
        <v>1</v>
      </c>
      <c r="F35" s="41" t="inlineStr">
        <is>
          <t>—</t>
        </is>
      </c>
      <c r="G35" s="41" t="inlineStr">
        <is>
          <t>马尼拉</t>
        </is>
      </c>
      <c r="H35" s="41" t="inlineStr">
        <is>
          <t>证书部署至 ALB / WAF / DCDN；ALB 层启用 SNI 与域名校验</t>
        </is>
      </c>
      <c r="I35" s="41" t="inlineStr">
        <is>
          <t>7,8,9</t>
        </is>
      </c>
      <c r="J35" s="41" t="inlineStr">
        <is>
          <t>控制台</t>
        </is>
      </c>
      <c r="K35" s="41" t="inlineStr">
        <is>
          <t>D6</t>
        </is>
      </c>
      <c r="L35" s="51" t="inlineStr">
        <is>
          <t>人员A</t>
        </is>
      </c>
      <c r="M35" s="41" t="inlineStr">
        <is>
          <t>修正原方案「D1 部署证书但 ALB/WAF 尚未创建」的时序错误</t>
        </is>
      </c>
    </row>
    <row r="36">
      <c r="A36" s="51" t="inlineStr">
        <is>
          <t>33</t>
        </is>
      </c>
      <c r="B36" s="41" t="inlineStr">
        <is>
          <t>计算</t>
        </is>
      </c>
      <c r="C36" s="41" t="inlineStr">
        <is>
          <t>staging / perf 环境</t>
        </is>
      </c>
      <c r="D36" s="41" t="inlineStr">
        <is>
          <t>ACK 命名空间 + 2 × g8i.xlarge（按需）</t>
        </is>
      </c>
      <c r="E36" s="51" t="n">
        <v>1</v>
      </c>
      <c r="F36" s="41" t="inlineStr">
        <is>
          <t>ns: new-api-staging / new-api-perf</t>
        </is>
      </c>
      <c r="G36" s="41" t="inlineStr">
        <is>
          <t>马尼拉</t>
        </is>
      </c>
      <c r="H36" s="41" t="inlineStr">
        <is>
          <t>集成与三数据库矩阵验证、压测矩阵承载；使用主站 RDS 的逻辑隔离 schema（不新建实例，不构成对「新加坡不部署 RDS」红线的例外）</t>
        </is>
      </c>
      <c r="I36" s="41" t="inlineStr">
        <is>
          <t>10</t>
        </is>
      </c>
      <c r="J36" s="41" t="inlineStr">
        <is>
          <t>GitOps</t>
        </is>
      </c>
      <c r="K36" s="41" t="inlineStr">
        <is>
          <t>D4</t>
        </is>
      </c>
      <c r="L36" s="51" t="inlineStr">
        <is>
          <t>人员A</t>
        </is>
      </c>
      <c r="M36" s="41" t="inlineStr">
        <is>
          <t>修复原方案「#33 压测无环境可跑」；impl_deploy.md 7.9 环境矩阵的前置</t>
        </is>
      </c>
    </row>
    <row r="37">
      <c r="A37" s="51" t="inlineStr">
        <is>
          <t>34</t>
        </is>
      </c>
      <c r="B37" s="41" t="inlineStr">
        <is>
          <t>安全</t>
        </is>
      </c>
      <c r="C37" s="41" t="inlineStr">
        <is>
          <t>支付回调源 IP 白名单</t>
        </is>
      </c>
      <c r="D37" s="41" t="inlineStr">
        <is>
          <t>—</t>
        </is>
      </c>
      <c r="E37" s="51" t="n">
        <v>1</v>
      </c>
      <c r="F37" s="41" t="inlineStr">
        <is>
          <t>—</t>
        </is>
      </c>
      <c r="G37" s="41" t="inlineStr">
        <is>
          <t>马尼拉</t>
        </is>
      </c>
      <c r="H37" s="41" t="inlineStr">
        <is>
          <t>WAF 放行回调路径 + 支付渠道回调源 IP 段白名单 + 签名校验</t>
        </is>
      </c>
      <c r="I37" s="41" t="inlineStr">
        <is>
          <t>20</t>
        </is>
      </c>
      <c r="J37" s="41" t="inlineStr">
        <is>
          <t>控制台</t>
        </is>
      </c>
      <c r="K37" s="41" t="inlineStr">
        <is>
          <t>D6</t>
        </is>
      </c>
      <c r="L37" s="51" t="inlineStr">
        <is>
          <t>人员B</t>
        </is>
      </c>
      <c r="M37" s="41" t="inlineStr">
        <is>
          <t>防伪造回调</t>
        </is>
      </c>
    </row>
    <row r="38">
      <c r="A38" s="51" t="inlineStr">
        <is>
          <t>35</t>
        </is>
      </c>
      <c r="B38" s="41" t="inlineStr">
        <is>
          <t>数据</t>
        </is>
      </c>
      <c r="C38" s="41" t="inlineStr">
        <is>
          <t>连接数预算与参数组</t>
        </is>
      </c>
      <c r="D38" s="41" t="inlineStr">
        <is>
          <t>—</t>
        </is>
      </c>
      <c r="E38" s="51" t="n">
        <v>1</v>
      </c>
      <c r="F38" s="41" t="inlineStr">
        <is>
          <t>—</t>
        </is>
      </c>
      <c r="G38" s="41" t="inlineStr">
        <is>
          <t>马尼拉</t>
        </is>
      </c>
      <c r="H38" s="41" t="inlineStr">
        <is>
          <t>SQL_MAX_OPEN_CONNS / RDS max_connections / PgBouncer pool 三者对齐；核算式：(主站 conns × 实例数) + (备 region conns × 实例数) ≤ max_connections × 0.8</t>
        </is>
      </c>
      <c r="I38" s="41" t="inlineStr">
        <is>
          <t>4</t>
        </is>
      </c>
      <c r="J38" s="41" t="inlineStr">
        <is>
          <t>控制台</t>
        </is>
      </c>
      <c r="K38" s="41" t="inlineStr">
        <is>
          <t>D3</t>
        </is>
      </c>
      <c r="L38" s="51" t="inlineStr">
        <is>
          <t>人员B</t>
        </is>
      </c>
      <c r="M38" s="41" t="inlineStr">
        <is>
          <t>落地任务 #4「参数组」的验收项；扩容后避免打爆 PG</t>
        </is>
      </c>
    </row>
    <row r="39">
      <c r="A39" s="51" t="inlineStr">
        <is>
          <t>36</t>
        </is>
      </c>
      <c r="B39" s="41" t="inlineStr">
        <is>
          <t>网络</t>
        </is>
      </c>
      <c r="C39" s="41" t="inlineStr">
        <is>
          <t>出口带宽规格</t>
        </is>
      </c>
      <c r="D39" s="41" t="inlineStr">
        <is>
          <t>NAT 网关 ≥ 200 Mbps；EIP 峰值 ≥ 100 Mbps</t>
        </is>
      </c>
      <c r="E39" s="51" t="inlineStr">
        <is>
          <t>—</t>
        </is>
      </c>
      <c r="F39" s="41" t="inlineStr">
        <is>
          <t>—</t>
        </is>
      </c>
      <c r="G39" s="41" t="inlineStr">
        <is>
          <t>马尼拉</t>
        </is>
      </c>
      <c r="H39" s="41" t="inlineStr">
        <is>
          <t>按 1,000 并发 ≈ 40 Mbps 估算并留 burst 余量；ALB LCU 上限一并确认</t>
        </is>
      </c>
      <c r="I39" s="41" t="inlineStr">
        <is>
          <t>4</t>
        </is>
      </c>
      <c r="J39" s="41" t="inlineStr">
        <is>
          <t>控制台</t>
        </is>
      </c>
      <c r="K39" s="41" t="inlineStr">
        <is>
          <t>D3</t>
        </is>
      </c>
      <c r="L39" s="51" t="inlineStr">
        <is>
          <t>人员A</t>
        </is>
      </c>
      <c r="M39" s="41" t="inlineStr">
        <is>
          <t>流式网关硬瓶颈（impl_deploy.md 8.5）</t>
        </is>
      </c>
    </row>
    <row r="40">
      <c r="A40" s="51" t="inlineStr">
        <is>
          <t>37</t>
        </is>
      </c>
      <c r="B40" s="41" t="inlineStr">
        <is>
          <t>观测</t>
        </is>
      </c>
      <c r="C40" s="41" t="inlineStr">
        <is>
          <t>Grafana 服务 / 工作区</t>
        </is>
      </c>
      <c r="D40" s="41" t="inlineStr">
        <is>
          <t>按量</t>
        </is>
      </c>
      <c r="E40" s="51" t="n">
        <v>1</v>
      </c>
      <c r="F40" s="41" t="inlineStr">
        <is>
          <t>grafana-newapi-mnl</t>
        </is>
      </c>
      <c r="G40" s="41" t="inlineStr">
        <is>
          <t>马尼拉</t>
        </is>
      </c>
      <c r="H40" s="41" t="inlineStr">
        <is>
          <t>SLO 与错误预算看板载体，对接 ARMS Prometheus 数据源</t>
        </is>
      </c>
      <c r="I40" s="41" t="inlineStr">
        <is>
          <t>22</t>
        </is>
      </c>
      <c r="J40" s="41" t="inlineStr">
        <is>
          <t>控制台</t>
        </is>
      </c>
      <c r="K40" s="41" t="inlineStr">
        <is>
          <t>D5</t>
        </is>
      </c>
      <c r="L40" s="51" t="inlineStr">
        <is>
          <t>人员A</t>
        </is>
      </c>
      <c r="M40" s="41" t="inlineStr">
        <is>
          <t>impl_deploy.md 7.8 观测栈要求</t>
        </is>
      </c>
    </row>
    <row r="41">
      <c r="A41" s="51" t="inlineStr">
        <is>
          <t>38</t>
        </is>
      </c>
      <c r="B41" s="41" t="inlineStr">
        <is>
          <t>安全</t>
        </is>
      </c>
      <c r="C41" s="41" t="inlineStr">
        <is>
          <t>运维访问面</t>
        </is>
      </c>
      <c r="D41" s="41" t="inlineStr">
        <is>
          <t>堡垒机 / VPN + ACK 私网端点</t>
        </is>
      </c>
      <c r="E41" s="51" t="n">
        <v>1</v>
      </c>
      <c r="F41" s="41" t="inlineStr">
        <is>
          <t>—</t>
        </is>
      </c>
      <c r="G41" s="41" t="inlineStr">
        <is>
          <t>马尼拉</t>
        </is>
      </c>
      <c r="H41" s="41" t="inlineStr">
        <is>
          <t>kubeconfig 分发 + RAM→RBAC 映射 + API Server 私网端点（或 ACL 白名单）+ 生产变更审批路径</t>
        </is>
      </c>
      <c r="I41" s="41" t="inlineStr">
        <is>
          <t>10</t>
        </is>
      </c>
      <c r="J41" s="41" t="inlineStr">
        <is>
          <t>控制台</t>
        </is>
      </c>
      <c r="K41" s="41" t="inlineStr">
        <is>
          <t>D5</t>
        </is>
      </c>
      <c r="L41" s="51" t="inlineStr">
        <is>
          <t>人员A</t>
        </is>
      </c>
      <c r="M41" s="41" t="inlineStr">
        <is>
          <t>ACK Pro 默认公网端点属高风险面，须关闭或加 ACL</t>
        </is>
      </c>
    </row>
    <row r="42">
      <c r="A42" s="51" t="inlineStr">
        <is>
          <t>39</t>
        </is>
      </c>
      <c r="B42" s="41" t="inlineStr">
        <is>
          <t>观测</t>
        </is>
      </c>
      <c r="C42" s="41" t="inlineStr">
        <is>
          <t>成本看板与预算告警</t>
        </is>
      </c>
      <c r="D42" s="41" t="inlineStr">
        <is>
          <t>按量</t>
        </is>
      </c>
      <c r="E42" s="51" t="n">
        <v>1</v>
      </c>
      <c r="F42" s="41" t="inlineStr">
        <is>
          <t>—</t>
        </is>
      </c>
      <c r="G42" s="41" t="inlineStr">
        <is>
          <t>马尼拉</t>
        </is>
      </c>
      <c r="H42" s="41" t="inlineStr">
        <is>
          <t>成本标签 site / project / env；月度预算告警阈值 80%；覆盖出站流量、ALB LCU、跨区公网读写、WAF 请求数、DCDN 流量、GA（如启用）</t>
        </is>
      </c>
      <c r="I42" s="41" t="inlineStr">
        <is>
          <t>5</t>
        </is>
      </c>
      <c r="J42" s="41" t="inlineStr">
        <is>
          <t>控制台</t>
        </is>
      </c>
      <c r="K42" s="41" t="inlineStr">
        <is>
          <t>D5</t>
        </is>
      </c>
      <c r="L42" s="51" t="inlineStr">
        <is>
          <t>人员A</t>
        </is>
      </c>
      <c r="M42" s="41" t="inlineStr">
        <is>
          <t>原方案无成本量化，主要变量未落入表格</t>
        </is>
      </c>
    </row>
  </sheetData>
  <autoFilter ref="A3:M32"/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1" workbookViewId="0">
      <pane xSplit="2" ySplit="3" topLeftCell="C4" activePane="bottomRight" state="frozen"/>
      <selection activeCell="A1" sqref="A1"/>
    </sheetView>
  </sheetViews>
  <sheetFormatPr baseColWidth="8" defaultColWidth="9" defaultRowHeight="13.5"/>
  <cols>
    <col width="6" customWidth="1" style="3" min="1" max="1"/>
    <col width="9" customWidth="1" style="3" min="2" max="2"/>
    <col width="24" customWidth="1" style="3" min="3" max="4"/>
    <col width="7" customWidth="1" style="3" min="5" max="5"/>
    <col width="30" customWidth="1" style="3" min="6" max="6"/>
    <col width="20" customWidth="1" style="3" min="7" max="7"/>
    <col width="58" customWidth="1" style="3" min="8" max="8"/>
    <col width="12" customWidth="1" style="3" min="9" max="9"/>
    <col width="11" customWidth="1" style="3" min="10" max="10"/>
    <col width="7" customWidth="1" style="3" min="11" max="11"/>
    <col width="8" customWidth="1" style="3" min="12" max="12"/>
    <col width="40" customWidth="1" style="3" min="13" max="13"/>
  </cols>
  <sheetData>
    <row r="1" ht="24" customHeight="1" s="3">
      <c r="A1" s="46" t="inlineStr">
        <is>
          <t>备 region 资源清单 · ap-southeast-1（新加坡，仅承载菲律宾备用负载）</t>
        </is>
      </c>
    </row>
    <row r="3" ht="30" customHeight="1" s="3">
      <c r="A3" s="47" t="inlineStr">
        <is>
          <t>序号</t>
        </is>
      </c>
      <c r="B3" s="47" t="inlineStr">
        <is>
          <t>层</t>
        </is>
      </c>
      <c r="C3" s="47" t="inlineStr">
        <is>
          <t>资源 / 产品</t>
        </is>
      </c>
      <c r="D3" s="47" t="inlineStr">
        <is>
          <t>规格与版本</t>
        </is>
      </c>
      <c r="E3" s="47" t="inlineStr">
        <is>
          <t>数量</t>
        </is>
      </c>
      <c r="F3" s="47" t="inlineStr">
        <is>
          <t>命名规范</t>
        </is>
      </c>
      <c r="G3" s="47" t="inlineStr">
        <is>
          <t>地域 / 可用区</t>
        </is>
      </c>
      <c r="H3" s="47" t="inlineStr">
        <is>
          <t>关键配置</t>
        </is>
      </c>
      <c r="I3" s="47" t="inlineStr">
        <is>
          <t>前置依赖</t>
        </is>
      </c>
      <c r="J3" s="47" t="inlineStr">
        <is>
          <t>申请方式</t>
        </is>
      </c>
      <c r="K3" s="47" t="inlineStr">
        <is>
          <t>落地日</t>
        </is>
      </c>
      <c r="L3" s="47" t="inlineStr">
        <is>
          <t>负责</t>
        </is>
      </c>
      <c r="M3" s="47" t="inlineStr">
        <is>
          <t>备注</t>
        </is>
      </c>
    </row>
    <row r="4" ht="14.25" customHeight="1" s="3">
      <c r="A4" s="48" t="inlineStr">
        <is>
          <t>1</t>
        </is>
      </c>
      <c r="B4" s="48" t="inlineStr">
        <is>
          <t>网络</t>
        </is>
      </c>
      <c r="C4" s="48" t="inlineStr">
        <is>
          <t>VPC</t>
        </is>
      </c>
      <c r="D4" s="48" t="inlineStr">
        <is>
          <t>10.1.0.0/16</t>
        </is>
      </c>
      <c r="E4" s="48" t="n">
        <v>1</v>
      </c>
      <c r="F4" s="48" t="inlineStr">
        <is>
          <t>vpc-newapi-sg-prod</t>
        </is>
      </c>
      <c r="G4" s="48" t="inlineStr">
        <is>
          <t>ap-southeast-1</t>
        </is>
      </c>
      <c r="H4" s="48" t="inlineStr">
        <is>
          <t>独立 VPC；不部署任何数据库实例</t>
        </is>
      </c>
      <c r="I4" s="48" t="inlineStr">
        <is>
          <t>—</t>
        </is>
      </c>
      <c r="J4" s="48" t="inlineStr">
        <is>
          <t>控制台/IaC</t>
        </is>
      </c>
      <c r="K4" s="48" t="inlineStr">
        <is>
          <t>D2</t>
        </is>
      </c>
      <c r="L4" s="48" t="inlineStr">
        <is>
          <t>人员A</t>
        </is>
      </c>
      <c r="M4" s="48" t="inlineStr">
        <is>
          <t>网段与马尼拉不重叠</t>
        </is>
      </c>
    </row>
    <row r="5" ht="14.25" customHeight="1" s="3">
      <c r="A5" s="32" t="inlineStr">
        <is>
          <t>2</t>
        </is>
      </c>
      <c r="B5" s="32" t="inlineStr">
        <is>
          <t>网络</t>
        </is>
      </c>
      <c r="C5" s="32" t="inlineStr">
        <is>
          <t>vSwitch</t>
        </is>
      </c>
      <c r="D5" s="32" t="inlineStr">
        <is>
          <t>2 × /24 + 2 × /20</t>
        </is>
      </c>
      <c r="E5" s="32" t="n">
        <v>4</v>
      </c>
      <c r="F5" s="32" t="inlineStr">
        <is>
          <t>vsw-sg-pub-a/b、vsw-sg-app-a/b</t>
        </is>
      </c>
      <c r="G5" s="32" t="inlineStr">
        <is>
          <t>跨 2 个可用区</t>
        </is>
      </c>
      <c r="H5" s="32" t="inlineStr">
        <is>
          <t>公共子网承载 ALB 与 NAT；私有子网承载 Pod</t>
        </is>
      </c>
      <c r="I5" s="32" t="inlineStr">
        <is>
          <t>1</t>
        </is>
      </c>
      <c r="J5" s="32" t="inlineStr">
        <is>
          <t>控制台/IaC</t>
        </is>
      </c>
      <c r="K5" s="32" t="inlineStr">
        <is>
          <t>D2</t>
        </is>
      </c>
      <c r="L5" s="32" t="inlineStr">
        <is>
          <t>人员A</t>
        </is>
      </c>
      <c r="M5" s="32" t="inlineStr">
        <is>
          <t>至少 2 个可用区</t>
        </is>
      </c>
    </row>
    <row r="6" ht="28.5" customHeight="1" s="3">
      <c r="A6" s="48" t="inlineStr">
        <is>
          <t>3</t>
        </is>
      </c>
      <c r="B6" s="48" t="inlineStr">
        <is>
          <t>网络</t>
        </is>
      </c>
      <c r="C6" s="48" t="inlineStr">
        <is>
          <t>NAT 网关 + EIP 池</t>
        </is>
      </c>
      <c r="D6" s="48" t="inlineStr">
        <is>
          <t>≥ 4 个 EIP</t>
        </is>
      </c>
      <c r="E6" s="48" t="n">
        <v>4</v>
      </c>
      <c r="F6" s="48" t="inlineStr">
        <is>
          <t>nat-sg-prod / eip-sg-upstream-01..04</t>
        </is>
      </c>
      <c r="G6" s="48" t="inlineStr">
        <is>
          <t>多可用区</t>
        </is>
      </c>
      <c r="H6" s="48" t="inlineStr">
        <is>
          <t>固定 EIP 两用：① 上游出口白名单；② 马尼拉 RDS 公网白名单来源</t>
        </is>
      </c>
      <c r="I6" s="48" t="inlineStr">
        <is>
          <t>1</t>
        </is>
      </c>
      <c r="J6" s="48" t="inlineStr">
        <is>
          <t>控制台/IaC</t>
        </is>
      </c>
      <c r="K6" s="48" t="inlineStr">
        <is>
          <t>D2</t>
        </is>
      </c>
      <c r="L6" s="48" t="inlineStr">
        <is>
          <t>人员A</t>
        </is>
      </c>
      <c r="M6" s="48" t="inlineStr">
        <is>
          <t>关键：这批 EIP 必须加入马尼拉 RDS 白名单，禁止 0.0.0.0/0</t>
        </is>
      </c>
    </row>
    <row r="7" ht="14.25" customHeight="1" s="3">
      <c r="A7" s="32" t="inlineStr">
        <is>
          <t>4</t>
        </is>
      </c>
      <c r="B7" s="32" t="inlineStr">
        <is>
          <t>接入</t>
        </is>
      </c>
      <c r="C7" s="32" t="inlineStr">
        <is>
          <t>ALB</t>
        </is>
      </c>
      <c r="D7" s="32" t="inlineStr">
        <is>
          <t>标准版 II</t>
        </is>
      </c>
      <c r="E7" s="32" t="n">
        <v>1</v>
      </c>
      <c r="F7" s="32" t="inlineStr">
        <is>
          <t>alb-newapi-sg</t>
        </is>
      </c>
      <c r="G7" s="32" t="inlineStr">
        <is>
          <t>跨 2 个可用区</t>
        </is>
      </c>
      <c r="H7" s="32" t="inlineStr">
        <is>
          <t>与马尼拉同配置：443 + idleTimeout 60s + requestTimeout 180s</t>
        </is>
      </c>
      <c r="I7" s="32" t="inlineStr">
        <is>
          <t>3,17(前置)</t>
        </is>
      </c>
      <c r="J7" s="32" t="inlineStr">
        <is>
          <t>控制台/IaC</t>
        </is>
      </c>
      <c r="K7" s="32" t="inlineStr">
        <is>
          <t>D4</t>
        </is>
      </c>
      <c r="L7" s="32" t="inlineStr">
        <is>
          <t>人员A</t>
        </is>
      </c>
      <c r="M7" s="32" t="inlineStr">
        <is>
          <t>GTM 接管时直接解析到该 ALB</t>
        </is>
      </c>
    </row>
    <row r="8" ht="14.25" customHeight="1" s="3">
      <c r="A8" s="48" t="inlineStr">
        <is>
          <t>5</t>
        </is>
      </c>
      <c r="B8" s="48" t="inlineStr">
        <is>
          <t>接入</t>
        </is>
      </c>
      <c r="C8" s="48" t="inlineStr">
        <is>
          <t>WAF 3.0</t>
        </is>
      </c>
      <c r="D8" s="48" t="inlineStr">
        <is>
          <t>企业版</t>
        </is>
      </c>
      <c r="E8" s="48" t="n">
        <v>1</v>
      </c>
      <c r="F8" s="48" t="inlineStr">
        <is>
          <t>waf-newapi-sg</t>
        </is>
      </c>
      <c r="G8" s="48" t="inlineStr">
        <is>
          <t>新加坡</t>
        </is>
      </c>
      <c r="H8" s="48" t="inlineStr">
        <is>
          <t>接管时承接 api.example-ph.com 流量；规则与马尼拉保持一致</t>
        </is>
      </c>
      <c r="I8" s="48" t="inlineStr">
        <is>
          <t>4</t>
        </is>
      </c>
      <c r="J8" s="48" t="inlineStr">
        <is>
          <t>控制台</t>
        </is>
      </c>
      <c r="K8" s="48" t="inlineStr">
        <is>
          <t>D4</t>
        </is>
      </c>
      <c r="L8" s="48" t="inlineStr">
        <is>
          <t>人员A</t>
        </is>
      </c>
      <c r="M8" s="48" t="inlineStr">
        <is>
          <t>规则差异会导致切换后行为不一致</t>
        </is>
      </c>
    </row>
    <row r="9" ht="14.25" customHeight="1" s="3">
      <c r="A9" s="32" t="inlineStr">
        <is>
          <t>6</t>
        </is>
      </c>
      <c r="B9" s="32" t="inlineStr">
        <is>
          <t>接入</t>
        </is>
      </c>
      <c r="C9" s="32" t="inlineStr">
        <is>
          <t>ACR 企业版（新加坡）</t>
        </is>
      </c>
      <c r="D9" s="32" t="inlineStr">
        <is>
          <t>企业版实例</t>
        </is>
      </c>
      <c r="E9" s="32" t="n">
        <v>1</v>
      </c>
      <c r="F9" s="32" t="inlineStr">
        <is>
          <t>acr-newapi-sg</t>
        </is>
      </c>
      <c r="G9" s="32" t="inlineStr">
        <is>
          <t>ap-southeast-1</t>
        </is>
      </c>
      <c r="H9" s="32" t="inlineStr">
        <is>
          <t>提供新加坡 VPC 域名，供备 region 节点拉取同一镜像</t>
        </is>
      </c>
      <c r="I9" s="32" t="inlineStr">
        <is>
          <t>12(前置)</t>
        </is>
      </c>
      <c r="J9" s="32" t="inlineStr">
        <is>
          <t>控制台</t>
        </is>
      </c>
      <c r="K9" s="32" t="inlineStr">
        <is>
          <t>D2</t>
        </is>
      </c>
      <c r="L9" s="32" t="inlineStr">
        <is>
          <t>人员B</t>
        </is>
      </c>
      <c r="M9" s="32" t="inlineStr">
        <is>
          <t>避免跨区拉镜像</t>
        </is>
      </c>
    </row>
    <row r="10" ht="14.25" customHeight="1" s="3">
      <c r="A10" s="48" t="inlineStr">
        <is>
          <t>7</t>
        </is>
      </c>
      <c r="B10" s="48" t="inlineStr">
        <is>
          <t>计算</t>
        </is>
      </c>
      <c r="C10" s="48" t="inlineStr">
        <is>
          <t>ACK Pro 托管版</t>
        </is>
      </c>
      <c r="D10" s="48" t="inlineStr">
        <is>
          <t>控制面 SLA 99.95%</t>
        </is>
      </c>
      <c r="E10" s="48" t="n">
        <v>1</v>
      </c>
      <c r="F10" s="48" t="inlineStr">
        <is>
          <t>ack-newapi-sg</t>
        </is>
      </c>
      <c r="G10" s="48" t="inlineStr">
        <is>
          <t>多可用区</t>
        </is>
      </c>
      <c r="H10" s="48" t="inlineStr">
        <is>
          <t>与马尼拉同构；后续泰国备可复用该集群（独立 Deployment）</t>
        </is>
      </c>
      <c r="I10" s="48" t="inlineStr">
        <is>
          <t>1</t>
        </is>
      </c>
      <c r="J10" s="48" t="inlineStr">
        <is>
          <t>控制台</t>
        </is>
      </c>
      <c r="K10" s="48" t="inlineStr">
        <is>
          <t>D4</t>
        </is>
      </c>
      <c r="L10" s="48" t="inlineStr">
        <is>
          <t>人员A</t>
        </is>
      </c>
      <c r="M10" s="48" t="inlineStr">
        <is>
          <t>不同站点备负载必须互相隔离</t>
        </is>
      </c>
    </row>
    <row r="11" ht="14.25" customHeight="1" s="3">
      <c r="A11" s="32" t="inlineStr">
        <is>
          <t>8</t>
        </is>
      </c>
      <c r="B11" s="32" t="inlineStr">
        <is>
          <t>计算</t>
        </is>
      </c>
      <c r="C11" s="32" t="inlineStr">
        <is>
          <t>ECS 节点池</t>
        </is>
      </c>
      <c r="D11" s="32" t="inlineStr">
        <is>
          <t>g8i.2xlarge（8C32G）</t>
        </is>
      </c>
      <c r="E11" s="32" t="inlineStr">
        <is>
          <t>≥ 2</t>
        </is>
      </c>
      <c r="F11" s="32" t="inlineStr">
        <is>
          <t>ecs-sg-node-01..02</t>
        </is>
      </c>
      <c r="G11" s="32" t="inlineStr">
        <is>
          <t>跨 2 个可用区</t>
        </is>
      </c>
      <c r="H11" s="32" t="inlineStr">
        <is>
          <t>PH 备常态 2 副本；节点池自动伸缩 min 2 / max 12（12 × 8 = 96 vCPU，支撑接管容量 1.5×）；冷备形态会拉长 RTO</t>
        </is>
      </c>
      <c r="I11" s="32" t="inlineStr">
        <is>
          <t>7</t>
        </is>
      </c>
      <c r="J11" s="32" t="inlineStr">
        <is>
          <t>控制台</t>
        </is>
      </c>
      <c r="K11" s="32" t="inlineStr">
        <is>
          <t>D4</t>
        </is>
      </c>
      <c r="L11" s="32" t="inlineStr">
        <is>
          <t>人员A</t>
        </is>
      </c>
      <c r="M11" s="32" t="inlineStr">
        <is>
          <t>冷备会牺牲 RTO（秒级 → 分钟级）；接管容量验收见 M4</t>
        </is>
      </c>
    </row>
    <row r="12" ht="14.25" customHeight="1" s="3">
      <c r="A12" s="48" t="inlineStr">
        <is>
          <t>9</t>
        </is>
      </c>
      <c r="B12" s="48" t="inlineStr">
        <is>
          <t>数据</t>
        </is>
      </c>
      <c r="C12" s="48" t="inlineStr">
        <is>
          <t>RDS PostgreSQL</t>
        </is>
      </c>
      <c r="D12" s="48" t="inlineStr">
        <is>
          <t>—</t>
        </is>
      </c>
      <c r="E12" s="48" t="inlineStr">
        <is>
          <t>0</t>
        </is>
      </c>
      <c r="F12" s="48" t="inlineStr">
        <is>
          <t>—</t>
        </is>
      </c>
      <c r="G12" s="48" t="inlineStr">
        <is>
          <t>新加坡</t>
        </is>
      </c>
      <c r="H12" s="48" t="inlineStr">
        <is>
          <t>【不部署】备 region 直接使用马尼拉 RDS 的公网地址</t>
        </is>
      </c>
      <c r="I12" s="48" t="inlineStr">
        <is>
          <t>—</t>
        </is>
      </c>
      <c r="J12" s="48" t="inlineStr">
        <is>
          <t>—</t>
        </is>
      </c>
      <c r="K12" s="48" t="inlineStr">
        <is>
          <t>—</t>
        </is>
      </c>
      <c r="L12" s="48" t="inlineStr">
        <is>
          <t>人员B</t>
        </is>
      </c>
      <c r="M12" s="48" t="inlineStr">
        <is>
          <t>红线：禁止本地库、只读副本、DTS 双向链路</t>
        </is>
      </c>
    </row>
    <row r="13" ht="14.25" customHeight="1" s="3">
      <c r="A13" s="32" t="inlineStr">
        <is>
          <t>10</t>
        </is>
      </c>
      <c r="B13" s="32" t="inlineStr">
        <is>
          <t>数据</t>
        </is>
      </c>
      <c r="C13" s="32" t="inlineStr">
        <is>
          <t>RDS 公网白名单</t>
        </is>
      </c>
      <c r="D13" s="32" t="inlineStr">
        <is>
          <t>—</t>
        </is>
      </c>
      <c r="E13" s="32" t="n">
        <v>1</v>
      </c>
      <c r="F13" s="32" t="inlineStr">
        <is>
          <t>—</t>
        </is>
      </c>
      <c r="G13" s="32" t="inlineStr">
        <is>
          <t>马尼拉 RDS</t>
        </is>
      </c>
      <c r="H13" s="32" t="inlineStr">
        <is>
          <t>仅加入新加坡 NAT EIP；仅开放 5432；应用侧 sslmode=verify-full + RDS CA 校验</t>
        </is>
      </c>
      <c r="I13" s="32" t="inlineStr">
        <is>
          <t>3,14(马尼拉)</t>
        </is>
      </c>
      <c r="J13" s="32" t="inlineStr">
        <is>
          <t>控制台</t>
        </is>
      </c>
      <c r="K13" s="32" t="inlineStr">
        <is>
          <t>D2</t>
        </is>
      </c>
      <c r="L13" s="32" t="inlineStr">
        <is>
          <t>人员B</t>
        </is>
      </c>
      <c r="M13" s="32" t="inlineStr">
        <is>
          <t>连接串不得出现 sslmode=disable / require</t>
        </is>
      </c>
    </row>
    <row r="14" ht="14.25" customHeight="1" s="3">
      <c r="A14" s="48" t="inlineStr">
        <is>
          <t>11</t>
        </is>
      </c>
      <c r="B14" s="48" t="inlineStr">
        <is>
          <t>缓存</t>
        </is>
      </c>
      <c r="C14" s="48" t="inlineStr">
        <is>
          <t>Tair（Redis 兼容）</t>
        </is>
      </c>
      <c r="D14" s="48" t="inlineStr">
        <is>
          <t>主备版 4 GB</t>
        </is>
      </c>
      <c r="E14" s="48" t="n">
        <v>1</v>
      </c>
      <c r="F14" s="48" t="inlineStr">
        <is>
          <t>tair-sg-newapi</t>
        </is>
      </c>
      <c r="G14" s="48" t="inlineStr">
        <is>
          <t>多可用区</t>
        </is>
      </c>
      <c r="H14" s="48" t="inlineStr">
        <is>
          <t>备 region 本地缓存与限流；不跨区访问马尼拉 Tair</t>
        </is>
      </c>
      <c r="I14" s="48" t="inlineStr">
        <is>
          <t>1</t>
        </is>
      </c>
      <c r="J14" s="48" t="inlineStr">
        <is>
          <t>控制台</t>
        </is>
      </c>
      <c r="K14" s="48" t="inlineStr">
        <is>
          <t>D4</t>
        </is>
      </c>
      <c r="L14" s="48" t="inlineStr">
        <is>
          <t>人员B</t>
        </is>
      </c>
      <c r="M14" s="48" t="inlineStr">
        <is>
          <t>跨区缓存会放大延迟与故障面</t>
        </is>
      </c>
    </row>
    <row r="15" ht="14.25" customHeight="1" s="3">
      <c r="A15" s="32" t="inlineStr">
        <is>
          <t>12</t>
        </is>
      </c>
      <c r="B15" s="32" t="inlineStr">
        <is>
          <t>日志</t>
        </is>
      </c>
      <c r="C15" s="32" t="inlineStr">
        <is>
          <t>云数据库 ClickHouse</t>
        </is>
      </c>
      <c r="D15" s="32" t="inlineStr">
        <is>
          <t>社区版 24.8，2 节点</t>
        </is>
      </c>
      <c r="E15" s="32" t="n">
        <v>1</v>
      </c>
      <c r="F15" s="32" t="inlineStr">
        <is>
          <t>ck-sg-newapi</t>
        </is>
      </c>
      <c r="G15" s="32" t="inlineStr">
        <is>
          <t>新加坡</t>
        </is>
      </c>
      <c r="H15" s="32" t="inlineStr">
        <is>
          <t>备 region 本地日志库，避免跨区写日志</t>
        </is>
      </c>
      <c r="I15" s="32" t="inlineStr">
        <is>
          <t>1</t>
        </is>
      </c>
      <c r="J15" s="32" t="inlineStr">
        <is>
          <t>控制台</t>
        </is>
      </c>
      <c r="K15" s="32" t="inlineStr">
        <is>
          <t>D4</t>
        </is>
      </c>
      <c r="L15" s="32" t="inlineStr">
        <is>
          <t>人员B</t>
        </is>
      </c>
      <c r="M15" s="32" t="inlineStr">
        <is>
          <t>工期紧张时按裁剪预案暂用主站点</t>
        </is>
      </c>
    </row>
    <row r="16" ht="14.25" customHeight="1" s="3">
      <c r="A16" s="48" t="inlineStr">
        <is>
          <t>13</t>
        </is>
      </c>
      <c r="B16" s="48" t="inlineStr">
        <is>
          <t>存储</t>
        </is>
      </c>
      <c r="C16" s="48" t="inlineStr">
        <is>
          <t>OSS Bucket</t>
        </is>
      </c>
      <c r="D16" s="48" t="inlineStr">
        <is>
          <t>标准 + 低频生命周期</t>
        </is>
      </c>
      <c r="E16" s="48" t="n">
        <v>1</v>
      </c>
      <c r="F16" s="48" t="inlineStr">
        <is>
          <t>oss-newapi-sg</t>
        </is>
      </c>
      <c r="G16" s="48" t="inlineStr">
        <is>
          <t>新加坡</t>
        </is>
      </c>
      <c r="H16" s="48" t="inlineStr">
        <is>
          <t>版本控制 + 90 天转归档</t>
        </is>
      </c>
      <c r="I16" s="48" t="inlineStr">
        <is>
          <t>1</t>
        </is>
      </c>
      <c r="J16" s="48" t="inlineStr">
        <is>
          <t>控制台</t>
        </is>
      </c>
      <c r="K16" s="48" t="inlineStr">
        <is>
          <t>D2</t>
        </is>
      </c>
      <c r="L16" s="48" t="inlineStr">
        <is>
          <t>人员B</t>
        </is>
      </c>
      <c r="M16" s="48" t="inlineStr">
        <is>
          <t>DCDN 回源可指向本 bucket</t>
        </is>
      </c>
    </row>
    <row r="17" ht="28.5" customHeight="1" s="3">
      <c r="A17" s="32" t="inlineStr">
        <is>
          <t>14</t>
        </is>
      </c>
      <c r="B17" s="32" t="inlineStr">
        <is>
          <t>安全</t>
        </is>
      </c>
      <c r="C17" s="32" t="inlineStr">
        <is>
          <t>安全组</t>
        </is>
      </c>
      <c r="D17" s="32" t="inlineStr">
        <is>
          <t>—</t>
        </is>
      </c>
      <c r="E17" s="32" t="inlineStr">
        <is>
          <t>—</t>
        </is>
      </c>
      <c r="F17" s="32" t="inlineStr">
        <is>
          <t>sg-sg-alb / sg-sg-app</t>
        </is>
      </c>
      <c r="G17" s="32" t="inlineStr">
        <is>
          <t>新加坡</t>
        </is>
      </c>
      <c r="H17" s="32" t="inlineStr">
        <is>
          <t>alb 入向 443/80；app 入向 3000 仅来自 alb-sg；app 出向允许访问马尼拉 RDS 公网 5432</t>
        </is>
      </c>
      <c r="I17" s="32" t="inlineStr">
        <is>
          <t>2,10</t>
        </is>
      </c>
      <c r="J17" s="32" t="inlineStr">
        <is>
          <t>控制台</t>
        </is>
      </c>
      <c r="K17" s="32" t="inlineStr">
        <is>
          <t>D4</t>
        </is>
      </c>
      <c r="L17" s="32" t="inlineStr">
        <is>
          <t>人员A</t>
        </is>
      </c>
      <c r="M17" s="32" t="inlineStr">
        <is>
          <t>出向按目的地址精确放行</t>
        </is>
      </c>
    </row>
    <row r="18" ht="28.5" customHeight="1" s="3">
      <c r="A18" s="48" t="inlineStr">
        <is>
          <t>15</t>
        </is>
      </c>
      <c r="B18" s="48" t="inlineStr">
        <is>
          <t>工作负载</t>
        </is>
      </c>
      <c r="C18" s="48" t="inlineStr">
        <is>
          <t>PH 备 Deployment</t>
        </is>
      </c>
      <c r="D18" s="48" t="inlineStr">
        <is>
          <t>—</t>
        </is>
      </c>
      <c r="E18" s="48" t="n">
        <v>1</v>
      </c>
      <c r="F18" s="48" t="inlineStr">
        <is>
          <t>new-api-ph-standby</t>
        </is>
      </c>
      <c r="G18" s="48" t="inlineStr">
        <is>
          <t>跨 2 个可用区</t>
        </is>
      </c>
      <c r="H18" s="48" t="inlineStr">
        <is>
          <t>replicas=2（常态，热备）；NODE_TYPE=slave；track=standby；site=ph；SQL_MAX_OPEN_CONNS=150；HPA min 2 / max 24</t>
        </is>
      </c>
      <c r="I18" s="48" t="inlineStr">
        <is>
          <t>7,11</t>
        </is>
      </c>
      <c r="J18" s="48" t="inlineStr">
        <is>
          <t>GitOps</t>
        </is>
      </c>
      <c r="K18" s="48" t="inlineStr">
        <is>
          <t>D4</t>
        </is>
      </c>
      <c r="L18" s="48" t="inlineStr">
        <is>
          <t>人员B</t>
        </is>
      </c>
      <c r="M18" s="48" t="inlineStr">
        <is>
          <t>必须固定 slave，避免与马尼拉 master 并发迁移同一 schema；HPA 上限 24 = 主站峰值 16 × 1.5</t>
        </is>
      </c>
    </row>
    <row r="19" ht="14.25" customHeight="1" s="3">
      <c r="A19" s="32" t="inlineStr">
        <is>
          <t>16</t>
        </is>
      </c>
      <c r="B19" s="32" t="inlineStr">
        <is>
          <t>工作负载</t>
        </is>
      </c>
      <c r="C19" s="32" t="inlineStr">
        <is>
          <t>备 region Secret</t>
        </is>
      </c>
      <c r="D19" s="32" t="inlineStr">
        <is>
          <t>—</t>
        </is>
      </c>
      <c r="E19" s="32" t="n">
        <v>1</v>
      </c>
      <c r="F19" s="32" t="inlineStr">
        <is>
          <t>new-api-secret-sg-ph</t>
        </is>
      </c>
      <c r="G19" s="32" t="inlineStr">
        <is>
          <t>新加坡</t>
        </is>
      </c>
      <c r="H19" s="32" t="inlineStr">
        <is>
          <t>SQL_DSN 指向马尼拉 RDS 公网地址；SESSION_SECRET 与主站点完全一致</t>
        </is>
      </c>
      <c r="I19" s="32" t="inlineStr">
        <is>
          <t>20(马尼拉)</t>
        </is>
      </c>
      <c r="J19" s="32" t="inlineStr">
        <is>
          <t>GitOps</t>
        </is>
      </c>
      <c r="K19" s="32" t="inlineStr">
        <is>
          <t>D4</t>
        </is>
      </c>
      <c r="L19" s="32" t="inlineStr">
        <is>
          <t>人员B</t>
        </is>
      </c>
      <c r="M19" s="32" t="inlineStr">
        <is>
          <t>同 SESSION_SECRET 保证接管瞬间会话与令牌不失效；轮换走双密钥过渡</t>
        </is>
      </c>
    </row>
    <row r="20" ht="14.25" customHeight="1" s="3">
      <c r="A20" s="48" t="inlineStr">
        <is>
          <t>17</t>
        </is>
      </c>
      <c r="B20" s="48" t="inlineStr">
        <is>
          <t>观测</t>
        </is>
      </c>
      <c r="C20" s="48" t="inlineStr">
        <is>
          <t>SLS / ARMS 接入</t>
        </is>
      </c>
      <c r="D20" s="48" t="inlineStr">
        <is>
          <t>按量</t>
        </is>
      </c>
      <c r="E20" s="48" t="n">
        <v>1</v>
      </c>
      <c r="F20" s="48" t="inlineStr">
        <is>
          <t>sls-newapi-sg / arms-newapi-sg</t>
        </is>
      </c>
      <c r="G20" s="48" t="inlineStr">
        <is>
          <t>新加坡</t>
        </is>
      </c>
      <c r="H20" s="48" t="inlineStr">
        <is>
          <t>与应用同构采集；备 region 日志单独 LogStore</t>
        </is>
      </c>
      <c r="I20" s="48" t="inlineStr">
        <is>
          <t>7</t>
        </is>
      </c>
      <c r="J20" s="48" t="inlineStr">
        <is>
          <t>控制台</t>
        </is>
      </c>
      <c r="K20" s="48" t="inlineStr">
        <is>
          <t>D4</t>
        </is>
      </c>
      <c r="L20" s="48" t="inlineStr">
        <is>
          <t>人员A</t>
        </is>
      </c>
      <c r="M20" s="48" t="inlineStr">
        <is>
          <t>告警通道复用主站点值班表</t>
        </is>
      </c>
    </row>
    <row r="21" ht="14.25" customHeight="1" s="3">
      <c r="A21" s="32" t="inlineStr">
        <is>
          <t>18</t>
        </is>
      </c>
      <c r="B21" s="32" t="inlineStr">
        <is>
          <t>观测</t>
        </is>
      </c>
      <c r="C21" s="32" t="inlineStr">
        <is>
          <t>备 region 链路拨测</t>
        </is>
      </c>
      <c r="D21" s="32" t="inlineStr">
        <is>
          <t>按量</t>
        </is>
      </c>
      <c r="E21" s="32" t="n">
        <v>1</v>
      </c>
      <c r="F21" s="32" t="inlineStr">
        <is>
          <t>—</t>
        </is>
      </c>
      <c r="G21" s="32" t="inlineStr">
        <is>
          <t>新加坡 → 马尼拉</t>
        </is>
      </c>
      <c r="H21" s="32" t="inlineStr">
        <is>
          <t>对马尼拉 RDS 公网地址做 TCP 拨测：RTT、连接失败率、连接数占比</t>
        </is>
      </c>
      <c r="I21" s="32" t="inlineStr">
        <is>
          <t>10</t>
        </is>
      </c>
      <c r="J21" s="32" t="inlineStr">
        <is>
          <t>控制台</t>
        </is>
      </c>
      <c r="K21" s="32" t="inlineStr">
        <is>
          <t>D4</t>
        </is>
      </c>
      <c r="L21" s="32" t="inlineStr">
        <is>
          <t>人员B</t>
        </is>
      </c>
      <c r="M21" s="32" t="inlineStr">
        <is>
          <t>链路不健康时必须阻止 GTM 接管到备 region</t>
        </is>
      </c>
    </row>
    <row r="22">
      <c r="A22" s="48" t="inlineStr">
        <is>
          <t>19</t>
        </is>
      </c>
      <c r="B22" s="48" t="inlineStr">
        <is>
          <t>计算</t>
        </is>
      </c>
      <c r="C22" s="48" t="inlineStr">
        <is>
          <t>节点池自动伸缩（cluster-autoscaler）</t>
        </is>
      </c>
      <c r="D22" s="48" t="inlineStr">
        <is>
          <t>—</t>
        </is>
      </c>
      <c r="E22" s="48" t="n">
        <v>1</v>
      </c>
      <c r="F22" s="48" t="inlineStr">
        <is>
          <t>ca-sg</t>
        </is>
      </c>
      <c r="G22" s="48" t="inlineStr">
        <is>
          <t>新加坡</t>
        </is>
      </c>
      <c r="H22" s="48" t="inlineStr">
        <is>
          <t>min 2 / max 12（12 × 8 = 96 vCPU）；支撑备 region 24 副本接管</t>
        </is>
      </c>
      <c r="I22" s="48" t="inlineStr">
        <is>
          <t>7</t>
        </is>
      </c>
      <c r="J22" s="48" t="inlineStr">
        <is>
          <t>GitOps</t>
        </is>
      </c>
      <c r="K22" s="48" t="inlineStr">
        <is>
          <t>D6</t>
        </is>
      </c>
      <c r="L22" s="48" t="inlineStr">
        <is>
          <t>人员A</t>
        </is>
      </c>
      <c r="M22" s="48" t="inlineStr">
        <is>
          <t>需配额提升至 ≥ 96 vCPU（见账号与域名申请 #7）</t>
        </is>
      </c>
    </row>
    <row r="23" ht="14.25" customHeight="1" s="3">
      <c r="A23" s="48" t="inlineStr">
        <is>
          <t>20</t>
        </is>
      </c>
      <c r="B23" s="48" t="inlineStr">
        <is>
          <t>工作负载</t>
        </is>
      </c>
      <c r="C23" s="48" t="inlineStr">
        <is>
          <t>PH 备 HPA</t>
        </is>
      </c>
      <c r="D23" s="48" t="inlineStr">
        <is>
          <t>—</t>
        </is>
      </c>
      <c r="E23" s="48" t="n">
        <v>1</v>
      </c>
      <c r="F23" s="48" t="inlineStr">
        <is>
          <t>hpa-new-api-ph-standby</t>
        </is>
      </c>
      <c r="G23" s="48" t="inlineStr">
        <is>
          <t>新加坡</t>
        </is>
      </c>
      <c r="H23" s="48" t="inlineStr">
        <is>
          <t>min 2 / max 24；Pod request 2 vCPU；接管前先扩容再切流（扩容 → Ready → 加入 GTM）</t>
        </is>
      </c>
      <c r="I23" s="48" t="inlineStr">
        <is>
          <t>18,19</t>
        </is>
      </c>
      <c r="J23" s="48" t="inlineStr">
        <is>
          <t>GitOps</t>
        </is>
      </c>
      <c r="K23" s="48" t="inlineStr">
        <is>
          <t>D6</t>
        </is>
      </c>
      <c r="L23" s="48" t="inlineStr">
        <is>
          <t>人员B</t>
        </is>
      </c>
      <c r="M23" s="48" t="inlineStr">
        <is>
          <t>满足「单站点全量接管 ≥ 被接管站点峰值 × 1.5」（impl_deploy.md 8.5）</t>
        </is>
      </c>
    </row>
    <row r="24">
      <c r="A24" s="51" t="n"/>
      <c r="B24" s="41" t="n"/>
      <c r="C24" s="41" t="n"/>
      <c r="D24" s="41" t="n"/>
      <c r="E24" s="51" t="n"/>
      <c r="F24" s="41" t="n"/>
      <c r="G24" s="41" t="n"/>
      <c r="H24" s="41" t="n"/>
      <c r="I24" s="41" t="n"/>
      <c r="J24" s="41" t="n"/>
      <c r="K24" s="41" t="n"/>
      <c r="L24" s="51" t="n"/>
      <c r="M24" s="41" t="n"/>
    </row>
    <row r="25">
      <c r="A25" s="85" t="inlineStr">
        <is>
          <t>重申红线：新加坡【不部署 RDS PostgreSQL】（含只读副本与 DTS）。备 region 仅通过公网 TLS（verify-full + IP 白名单）读写马尼拉主库，仅故障接管时生效，不做双写。staging / perf 环境位于马尼拉主站点（主站 RDS 的逻辑隔离 schema），不构成对本红线的例外。【容量要求】备 region 可扩容上限 ≥ 被接管站点峰值 × 1.5（常备 2 副本 + HPA 2–24 + 节点池自动伸缩 2–12）。</t>
        </is>
      </c>
      <c r="B25" s="41" t="n"/>
      <c r="C25" s="41" t="n"/>
      <c r="D25" s="41" t="n"/>
      <c r="E25" s="51" t="n"/>
      <c r="F25" s="41" t="n"/>
      <c r="G25" s="41" t="n"/>
      <c r="H25" s="41" t="n"/>
      <c r="I25" s="41" t="n"/>
      <c r="J25" s="41" t="n"/>
      <c r="K25" s="41" t="n"/>
      <c r="L25" s="51" t="n"/>
      <c r="M25" s="41" t="n"/>
    </row>
    <row r="26"/>
    <row r="27"/>
  </sheetData>
  <autoFilter ref="A3:M21"/>
  <mergeCells count="1"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cols>
    <col width="21.5" customWidth="1" style="3" min="1" max="1"/>
    <col width="20" customWidth="1" style="3" min="2" max="2"/>
    <col width="18" customWidth="1" style="3" min="3" max="3"/>
    <col width="34" customWidth="1" style="3" min="4" max="4"/>
    <col width="46.9" customWidth="1" style="3" min="5" max="5"/>
    <col width="34" customWidth="1" style="3" min="6" max="6"/>
  </cols>
  <sheetData>
    <row r="1" ht="24" customHeight="1" s="3">
      <c r="A1" s="79" t="inlineStr">
        <is>
          <t>网络、安全组、EIP 与凭据规划（v2.1 修订版）</t>
        </is>
      </c>
    </row>
    <row r="3">
      <c r="A3" s="42" t="inlineStr">
        <is>
          <t>站点</t>
        </is>
      </c>
      <c r="B3" s="42" t="inlineStr">
        <is>
          <t>地域 / 可用区</t>
        </is>
      </c>
      <c r="C3" s="42" t="inlineStr">
        <is>
          <t>资源</t>
        </is>
      </c>
      <c r="D3" s="42" t="inlineStr">
        <is>
          <t>规划值</t>
        </is>
      </c>
      <c r="E3" s="42" t="inlineStr">
        <is>
          <t>用途 / 说明</t>
        </is>
      </c>
      <c r="F3" s="42" t="inlineStr">
        <is>
          <t>备注</t>
        </is>
      </c>
    </row>
    <row r="4">
      <c r="A4" s="51" t="inlineStr">
        <is>
          <t>马尼拉</t>
        </is>
      </c>
      <c r="B4" s="51" t="inlineStr">
        <is>
          <t>ap-southeast-6</t>
        </is>
      </c>
      <c r="C4" s="51" t="inlineStr">
        <is>
          <t>VPC CIDR</t>
        </is>
      </c>
      <c r="D4" s="51" t="inlineStr">
        <is>
          <t>10.0.0.0/16</t>
        </is>
      </c>
      <c r="E4" s="41" t="inlineStr">
        <is>
          <t>菲律宾主站点网络</t>
        </is>
      </c>
      <c r="F4" s="41" t="inlineStr">
        <is>
          <t>与新加坡不重叠</t>
        </is>
      </c>
    </row>
    <row r="5">
      <c r="A5" s="51" t="inlineStr">
        <is>
          <t>马尼拉</t>
        </is>
      </c>
      <c r="B5" s="51" t="inlineStr">
        <is>
          <t>可用区 A</t>
        </is>
      </c>
      <c r="C5" s="51" t="inlineStr">
        <is>
          <t>vSwitch</t>
        </is>
      </c>
      <c r="D5" s="51" t="inlineStr">
        <is>
          <t>vsw-mnl-pub-a 10.0.0.0/24</t>
        </is>
      </c>
      <c r="E5" s="41" t="inlineStr">
        <is>
          <t>ALB 公共子网</t>
        </is>
      </c>
      <c r="F5" s="41" t="inlineStr">
        <is>
          <t>—</t>
        </is>
      </c>
    </row>
    <row r="6">
      <c r="A6" s="51" t="inlineStr">
        <is>
          <t>马尼拉</t>
        </is>
      </c>
      <c r="B6" s="51" t="inlineStr">
        <is>
          <t>可用区 B</t>
        </is>
      </c>
      <c r="C6" s="51" t="inlineStr">
        <is>
          <t>vSwitch</t>
        </is>
      </c>
      <c r="D6" s="51" t="inlineStr">
        <is>
          <t>vsw-mnl-pub-b 10.0.1.0/24</t>
        </is>
      </c>
      <c r="E6" s="41" t="inlineStr">
        <is>
          <t>ALB 公共子网</t>
        </is>
      </c>
      <c r="F6" s="41" t="inlineStr">
        <is>
          <t>多可用区</t>
        </is>
      </c>
    </row>
    <row r="7">
      <c r="A7" s="51" t="inlineStr">
        <is>
          <t>马尼拉</t>
        </is>
      </c>
      <c r="B7" s="51" t="inlineStr">
        <is>
          <t>可用区 A</t>
        </is>
      </c>
      <c r="C7" s="51" t="inlineStr">
        <is>
          <t>vSwitch</t>
        </is>
      </c>
      <c r="D7" s="51" t="inlineStr">
        <is>
          <t>vsw-mnl-app-a 10.0.16.0/20</t>
        </is>
      </c>
      <c r="E7" s="41" t="inlineStr">
        <is>
          <t>ACK Pod 私有子网</t>
        </is>
      </c>
      <c r="F7" s="41" t="inlineStr">
        <is>
          <t>—</t>
        </is>
      </c>
    </row>
    <row r="8">
      <c r="A8" s="51" t="inlineStr">
        <is>
          <t>马尼拉</t>
        </is>
      </c>
      <c r="B8" s="51" t="inlineStr">
        <is>
          <t>可用区 B</t>
        </is>
      </c>
      <c r="C8" s="51" t="inlineStr">
        <is>
          <t>vSwitch</t>
        </is>
      </c>
      <c r="D8" s="51" t="inlineStr">
        <is>
          <t>vsw-mnl-app-b 10.0.32.0/20</t>
        </is>
      </c>
      <c r="E8" s="41" t="inlineStr">
        <is>
          <t>ACK Pod 私有子网</t>
        </is>
      </c>
      <c r="F8" s="41" t="inlineStr">
        <is>
          <t>—</t>
        </is>
      </c>
    </row>
    <row r="9">
      <c r="A9" s="51" t="inlineStr">
        <is>
          <t>马尼拉</t>
        </is>
      </c>
      <c r="B9" s="51" t="inlineStr">
        <is>
          <t>可用区 A</t>
        </is>
      </c>
      <c r="C9" s="51" t="inlineStr">
        <is>
          <t>vSwitch</t>
        </is>
      </c>
      <c r="D9" s="51" t="inlineStr">
        <is>
          <t>vsw-mnl-data-a 10.0.48.0/20</t>
        </is>
      </c>
      <c r="E9" s="41" t="inlineStr">
        <is>
          <t>RDS / Tair / ClickHouse</t>
        </is>
      </c>
      <c r="F9" s="41" t="inlineStr">
        <is>
          <t>数据库不暴露公网子网</t>
        </is>
      </c>
    </row>
    <row r="10">
      <c r="A10" s="51" t="inlineStr">
        <is>
          <t>马尼拉</t>
        </is>
      </c>
      <c r="B10" s="51" t="inlineStr">
        <is>
          <t>可用区 B</t>
        </is>
      </c>
      <c r="C10" s="51" t="inlineStr">
        <is>
          <t>vSwitch</t>
        </is>
      </c>
      <c r="D10" s="51" t="inlineStr">
        <is>
          <t>vsw-mnl-data-b 10.0.64.0/20</t>
        </is>
      </c>
      <c r="E10" s="41" t="inlineStr">
        <is>
          <t>RDS 备实例</t>
        </is>
      </c>
      <c r="F10" s="41" t="inlineStr">
        <is>
          <t>主备跨可用区</t>
        </is>
      </c>
    </row>
    <row r="11">
      <c r="A11" s="51" t="inlineStr">
        <is>
          <t>新加坡</t>
        </is>
      </c>
      <c r="B11" s="51" t="inlineStr">
        <is>
          <t>ap-southeast-1</t>
        </is>
      </c>
      <c r="C11" s="51" t="inlineStr">
        <is>
          <t>VPC CIDR</t>
        </is>
      </c>
      <c r="D11" s="51" t="inlineStr">
        <is>
          <t>10.1.0.0/16</t>
        </is>
      </c>
      <c r="E11" s="41" t="inlineStr">
        <is>
          <t>备 region 网络（不含数据库）</t>
        </is>
      </c>
      <c r="F11" s="41" t="inlineStr">
        <is>
          <t>与马尼拉不重叠</t>
        </is>
      </c>
    </row>
    <row r="12">
      <c r="A12" s="51" t="inlineStr">
        <is>
          <t>新加坡</t>
        </is>
      </c>
      <c r="B12" s="51" t="inlineStr">
        <is>
          <t>可用区 A</t>
        </is>
      </c>
      <c r="C12" s="51" t="inlineStr">
        <is>
          <t>vSwitch</t>
        </is>
      </c>
      <c r="D12" s="51" t="inlineStr">
        <is>
          <t>vsw-sg-pub-a 10.1.0.0/24</t>
        </is>
      </c>
      <c r="E12" s="41" t="inlineStr">
        <is>
          <t>ALB 与 NAT</t>
        </is>
      </c>
      <c r="F12" s="41" t="inlineStr">
        <is>
          <t>—</t>
        </is>
      </c>
    </row>
    <row r="13">
      <c r="A13" s="51" t="inlineStr">
        <is>
          <t>新加坡</t>
        </is>
      </c>
      <c r="B13" s="51" t="inlineStr">
        <is>
          <t>可用区 B</t>
        </is>
      </c>
      <c r="C13" s="51" t="inlineStr">
        <is>
          <t>vSwitch</t>
        </is>
      </c>
      <c r="D13" s="51" t="inlineStr">
        <is>
          <t>vsw-sg-pub-b 10.1.1.0/24</t>
        </is>
      </c>
      <c r="E13" s="41" t="inlineStr">
        <is>
          <t>ALB 公共子网（第 2 可用区）</t>
        </is>
      </c>
      <c r="F13" s="41" t="inlineStr">
        <is>
          <t>ALB 需跨 2 个可用区，原 v2.0 表缺失本行（已补）</t>
        </is>
      </c>
    </row>
    <row r="14">
      <c r="A14" s="51" t="inlineStr">
        <is>
          <t>新加坡</t>
        </is>
      </c>
      <c r="B14" s="51" t="inlineStr">
        <is>
          <t>可用区 A</t>
        </is>
      </c>
      <c r="C14" s="51" t="inlineStr">
        <is>
          <t>vSwitch</t>
        </is>
      </c>
      <c r="D14" s="51" t="inlineStr">
        <is>
          <t>vsw-sg-app-a 10.1.16.0/20</t>
        </is>
      </c>
      <c r="E14" s="41" t="inlineStr">
        <is>
          <t>PH 备 Pod</t>
        </is>
      </c>
      <c r="F14" s="41" t="inlineStr">
        <is>
          <t>—</t>
        </is>
      </c>
    </row>
    <row r="15">
      <c r="A15" s="51" t="inlineStr">
        <is>
          <t>新加坡</t>
        </is>
      </c>
      <c r="B15" s="51" t="inlineStr">
        <is>
          <t>可用区 B</t>
        </is>
      </c>
      <c r="C15" s="51" t="inlineStr">
        <is>
          <t>vSwitch</t>
        </is>
      </c>
      <c r="D15" s="51" t="inlineStr">
        <is>
          <t>vsw-sg-app-b 10.1.32.0/20</t>
        </is>
      </c>
      <c r="E15" s="41" t="inlineStr">
        <is>
          <t>PH 备 Pod</t>
        </is>
      </c>
      <c r="F15" s="41" t="inlineStr">
        <is>
          <t>跨 2 个可用区</t>
        </is>
      </c>
    </row>
    <row r="16">
      <c r="A16" s="39" t="inlineStr">
        <is>
          <t>EIP 规划（本次出口直出上游，不启用 GA；白名单 = 下列 8 个 EIP）</t>
        </is>
      </c>
    </row>
    <row r="17">
      <c r="A17" s="42" t="inlineStr">
        <is>
          <t>站点</t>
        </is>
      </c>
      <c r="B17" s="42" t="inlineStr">
        <is>
          <t>用途</t>
        </is>
      </c>
      <c r="C17" s="42" t="inlineStr">
        <is>
          <t>数量</t>
        </is>
      </c>
      <c r="D17" s="42" t="inlineStr">
        <is>
          <t>绑定对象</t>
        </is>
      </c>
      <c r="E17" s="42" t="inlineStr">
        <is>
          <t>说明</t>
        </is>
      </c>
      <c r="F17" s="42" t="inlineStr">
        <is>
          <t>备注</t>
        </is>
      </c>
    </row>
    <row r="18">
      <c r="A18" s="51" t="inlineStr">
        <is>
          <t>马尼拉</t>
        </is>
      </c>
      <c r="B18" s="51" t="inlineStr">
        <is>
          <t>上游出口白名单池</t>
        </is>
      </c>
      <c r="C18" s="51" t="n">
        <v>4</v>
      </c>
      <c r="D18" s="51" t="inlineStr">
        <is>
          <t>NAT 网关</t>
        </is>
      </c>
      <c r="E18" s="41" t="inlineStr">
        <is>
          <t>提交给 OpenAI / Anthropic / Google / Azure / AWS 等供应商做 IP 白名单（马尼拉 4 个 + 新加坡 4 个，共 8 个，须逐一确认生效）</t>
        </is>
      </c>
      <c r="F18" s="41" t="inlineStr">
        <is>
          <t>同一池用于上游白名单；本次不启用 GA（GA 为二期可选优化）</t>
        </is>
      </c>
    </row>
    <row r="19">
      <c r="A19" s="51" t="inlineStr">
        <is>
          <t>马尼拉</t>
        </is>
      </c>
      <c r="B19" s="51" t="inlineStr">
        <is>
          <t>ALB 公网地址</t>
        </is>
      </c>
      <c r="C19" s="51" t="n">
        <v>1</v>
      </c>
      <c r="D19" s="51" t="inlineStr">
        <is>
          <t>ALB</t>
        </is>
      </c>
      <c r="E19" s="41" t="inlineStr">
        <is>
          <t>由 ALB 自动分配，用于 GTM 地址池与 DNS 解析</t>
        </is>
      </c>
      <c r="F19" s="41" t="inlineStr">
        <is>
          <t>—</t>
        </is>
      </c>
    </row>
    <row r="20">
      <c r="A20" s="51" t="inlineStr">
        <is>
          <t>新加坡</t>
        </is>
      </c>
      <c r="B20" s="51" t="inlineStr">
        <is>
          <t>上游出口 + RDS 白名单池</t>
        </is>
      </c>
      <c r="C20" s="51" t="n">
        <v>4</v>
      </c>
      <c r="D20" s="51" t="inlineStr">
        <is>
          <t>NAT 网关</t>
        </is>
      </c>
      <c r="E20" s="41" t="inlineStr">
        <is>
          <t>既用于供应商白名单，也必须加入马尼拉 RDS 公网白名单</t>
        </is>
      </c>
      <c r="F20" s="41" t="inlineStr">
        <is>
          <t>仅放行该 EIP，禁止 0.0.0.0/0</t>
        </is>
      </c>
    </row>
    <row r="22">
      <c r="A22" s="39" t="inlineStr">
        <is>
          <t>安全组规则（最小开放原则；入向禁止 0.0.0.0/0，仅放行 WAF / DCDN 回源段与对端 CIDR）</t>
        </is>
      </c>
    </row>
    <row r="23">
      <c r="A23" s="42" t="inlineStr">
        <is>
          <t>站点</t>
        </is>
      </c>
      <c r="B23" s="42" t="inlineStr">
        <is>
          <t>安全组</t>
        </is>
      </c>
      <c r="C23" s="42" t="inlineStr">
        <is>
          <t>方向</t>
        </is>
      </c>
      <c r="D23" s="42" t="inlineStr">
        <is>
          <t>协议 / 端口</t>
        </is>
      </c>
      <c r="E23" s="42" t="inlineStr">
        <is>
          <t>源 / 目的</t>
        </is>
      </c>
      <c r="F23" s="42" t="inlineStr">
        <is>
          <t>说明</t>
        </is>
      </c>
    </row>
    <row r="24">
      <c r="A24" s="51" t="inlineStr">
        <is>
          <t>马尼拉</t>
        </is>
      </c>
      <c r="B24" s="51" t="inlineStr">
        <is>
          <t>sg-mnl-alb</t>
        </is>
      </c>
      <c r="C24" s="51" t="inlineStr">
        <is>
          <t>入</t>
        </is>
      </c>
      <c r="D24" s="51" t="inlineStr">
        <is>
          <t>TCP 443 / 80</t>
        </is>
      </c>
      <c r="E24" s="41" t="inlineStr">
        <is>
          <t>WAF 回源 IP 段 + DCDN 回源 IP 段</t>
        </is>
      </c>
      <c r="F24" s="41" t="inlineStr">
        <is>
          <t>仅放行 WAF / DCDN 回源网段，防止解析 ALB 公网 IP 后绕过 WAF 与 CC 策略直连；80 仅用于 301 跳转 HTTPS</t>
        </is>
      </c>
    </row>
    <row r="25">
      <c r="A25" s="51" t="inlineStr">
        <is>
          <t>马尼拉</t>
        </is>
      </c>
      <c r="B25" s="51" t="inlineStr">
        <is>
          <t>sg-mnl-app</t>
        </is>
      </c>
      <c r="C25" s="51" t="inlineStr">
        <is>
          <t>入</t>
        </is>
      </c>
      <c r="D25" s="51" t="inlineStr">
        <is>
          <t>TCP 3000</t>
        </is>
      </c>
      <c r="E25" s="41" t="inlineStr">
        <is>
          <t>sg-mnl-alb</t>
        </is>
      </c>
      <c r="F25" s="41" t="inlineStr">
        <is>
          <t>仅 ALB 可访问 Pod，禁止内网其他来源</t>
        </is>
      </c>
    </row>
    <row r="26">
      <c r="A26" s="51" t="inlineStr">
        <is>
          <t>马尼拉</t>
        </is>
      </c>
      <c r="B26" s="51" t="inlineStr">
        <is>
          <t>sg-mnl-app</t>
        </is>
      </c>
      <c r="C26" s="51" t="inlineStr">
        <is>
          <t>出</t>
        </is>
      </c>
      <c r="D26" s="51" t="inlineStr">
        <is>
          <t>TCP 5432 / 6379 / 9000</t>
        </is>
      </c>
      <c r="E26" s="41" t="inlineStr">
        <is>
          <t>sg-mnl-db</t>
        </is>
      </c>
      <c r="F26" s="41" t="inlineStr">
        <is>
          <t>访问 RDS、Tair、ClickHouse</t>
        </is>
      </c>
    </row>
    <row r="27">
      <c r="A27" s="51" t="inlineStr">
        <is>
          <t>马尼拉</t>
        </is>
      </c>
      <c r="B27" s="51" t="inlineStr">
        <is>
          <t>sg-mnl-app</t>
        </is>
      </c>
      <c r="C27" s="51" t="inlineStr">
        <is>
          <t>出</t>
        </is>
      </c>
      <c r="D27" s="51" t="inlineStr">
        <is>
          <t>TCP 443</t>
        </is>
      </c>
      <c r="E27" s="41" t="inlineStr">
        <is>
          <t>0.0.0.0/0 经 NAT 网关出网</t>
        </is>
      </c>
      <c r="F27" s="41" t="inlineStr">
        <is>
          <t>企业私有子网访问外部 AI 供应商的必要放通，风险由目的地址与出向限速约束</t>
        </is>
      </c>
    </row>
    <row r="28">
      <c r="A28" s="51" t="inlineStr">
        <is>
          <t>马尼拉</t>
        </is>
      </c>
      <c r="B28" s="51" t="inlineStr">
        <is>
          <t>sg-mnl-db</t>
        </is>
      </c>
      <c r="C28" s="51" t="inlineStr">
        <is>
          <t>入</t>
        </is>
      </c>
      <c r="D28" s="51" t="inlineStr">
        <is>
          <t>TCP 5432</t>
        </is>
      </c>
      <c r="E28" s="41" t="inlineStr">
        <is>
          <t>sg-mnl-app、10.1.0.0/16</t>
        </is>
      </c>
      <c r="F28" s="41" t="inlineStr">
        <is>
          <t>主站点走内网；备 region 跨 VPC 无法以安全组表达，实际生效源由 RDS 公网白名单二次收敛为新加坡 NAT EIP</t>
        </is>
      </c>
    </row>
    <row r="29">
      <c r="A29" s="51" t="inlineStr">
        <is>
          <t>马尼拉</t>
        </is>
      </c>
      <c r="B29" s="51" t="inlineStr">
        <is>
          <t>sg-mnl-alb-edge</t>
        </is>
      </c>
      <c r="C29" s="51" t="inlineStr">
        <is>
          <t>入</t>
        </is>
      </c>
      <c r="D29" s="51" t="inlineStr">
        <is>
          <t>TCP 22 / 443</t>
        </is>
      </c>
      <c r="E29" s="41" t="inlineStr">
        <is>
          <t>企业办公出口 IP 段</t>
        </is>
      </c>
      <c r="F29" s="41" t="inlineStr">
        <is>
          <t>堡垒机 / VPN 入口（运维访问面）；禁止 0.0.0.0/0</t>
        </is>
      </c>
    </row>
    <row r="30">
      <c r="A30" s="51" t="inlineStr">
        <is>
          <t>马尼拉</t>
        </is>
      </c>
      <c r="B30" s="51" t="inlineStr">
        <is>
          <t>sg-mnl-ack-api</t>
        </is>
      </c>
      <c r="C30" s="51" t="inlineStr">
        <is>
          <t>入</t>
        </is>
      </c>
      <c r="D30" s="51" t="inlineStr">
        <is>
          <t>TCP 6443</t>
        </is>
      </c>
      <c r="E30" s="41" t="inlineStr">
        <is>
          <t>企业办公出口 IP 段</t>
        </is>
      </c>
      <c r="F30" s="41" t="inlineStr">
        <is>
          <t>ACK API Server：关闭公网端点或加 ACL 白名单</t>
        </is>
      </c>
    </row>
    <row r="31">
      <c r="A31" s="51" t="inlineStr">
        <is>
          <t>新加坡</t>
        </is>
      </c>
      <c r="B31" s="51" t="inlineStr">
        <is>
          <t>sg-sg-alb</t>
        </is>
      </c>
      <c r="C31" s="51" t="inlineStr">
        <is>
          <t>入</t>
        </is>
      </c>
      <c r="D31" s="51" t="inlineStr">
        <is>
          <t>TCP 443 / 80</t>
        </is>
      </c>
      <c r="E31" s="41" t="inlineStr">
        <is>
          <t>WAF 回源 IP 段（新加坡）</t>
        </is>
      </c>
      <c r="F31" s="41" t="inlineStr">
        <is>
          <t>GTM 接管时的备 region 入口；与主站点一致，禁止 0.0.0.0/0</t>
        </is>
      </c>
    </row>
    <row r="32">
      <c r="A32" s="51" t="inlineStr">
        <is>
          <t>新加坡</t>
        </is>
      </c>
      <c r="B32" s="51" t="inlineStr">
        <is>
          <t>sg-sg-app</t>
        </is>
      </c>
      <c r="C32" s="51" t="inlineStr">
        <is>
          <t>入</t>
        </is>
      </c>
      <c r="D32" s="51" t="inlineStr">
        <is>
          <t>TCP 3000</t>
        </is>
      </c>
      <c r="E32" s="41" t="inlineStr">
        <is>
          <t>sg-sg-alb</t>
        </is>
      </c>
      <c r="F32" s="41" t="inlineStr">
        <is>
          <t>与主站点一致</t>
        </is>
      </c>
    </row>
    <row r="33">
      <c r="A33" s="51" t="inlineStr">
        <is>
          <t>新加坡</t>
        </is>
      </c>
      <c r="B33" s="51" t="inlineStr">
        <is>
          <t>sg-sg-app</t>
        </is>
      </c>
      <c r="C33" s="51" t="inlineStr">
        <is>
          <t>出</t>
        </is>
      </c>
      <c r="D33" s="51" t="inlineStr">
        <is>
          <t>TCP 5432</t>
        </is>
      </c>
      <c r="E33" s="41" t="inlineStr">
        <is>
          <t>马尼拉 RDS 公网 IP /32</t>
        </is>
      </c>
      <c r="F33" s="41" t="inlineStr">
        <is>
          <t>仅接管期写入；强制 TLS verify-full（跨 VPC 对端不能以安全组表达）</t>
        </is>
      </c>
    </row>
    <row r="34">
      <c r="A34" s="51" t="inlineStr">
        <is>
          <t>新加坡</t>
        </is>
      </c>
      <c r="B34" s="51" t="inlineStr">
        <is>
          <t>sg-sg-app</t>
        </is>
      </c>
      <c r="C34" s="51" t="inlineStr">
        <is>
          <t>出</t>
        </is>
      </c>
      <c r="D34" s="51" t="inlineStr">
        <is>
          <t>TCP 443</t>
        </is>
      </c>
      <c r="E34" s="41" t="inlineStr">
        <is>
          <t>0.0.0.0/0 经 NAT 网关出网</t>
        </is>
      </c>
      <c r="F34" s="41" t="inlineStr">
        <is>
          <t>接管期调用上游 AI 供应商</t>
        </is>
      </c>
    </row>
    <row r="36">
      <c r="A36" s="39" t="inlineStr">
        <is>
          <t>凭据与密钥（KMS 托管，禁止落库落 Git）</t>
        </is>
      </c>
    </row>
    <row r="37">
      <c r="A37" s="42" t="inlineStr">
        <is>
          <t>凭据</t>
        </is>
      </c>
      <c r="B37" s="42" t="inlineStr">
        <is>
          <t>载体</t>
        </is>
      </c>
      <c r="C37" s="42" t="inlineStr">
        <is>
          <t>使用方</t>
        </is>
      </c>
      <c r="D37" s="42" t="inlineStr">
        <is>
          <t>轮换周期</t>
        </is>
      </c>
      <c r="E37" s="42" t="inlineStr">
        <is>
          <t>说明</t>
        </is>
      </c>
      <c r="F37" s="42" t="inlineStr">
        <is>
          <t>备注</t>
        </is>
      </c>
    </row>
    <row r="38">
      <c r="A38" s="51" t="inlineStr">
        <is>
          <t>SQL_DSN</t>
        </is>
      </c>
      <c r="B38" s="51" t="inlineStr">
        <is>
          <t>KMS 凭据管家</t>
        </is>
      </c>
      <c r="C38" s="51" t="inlineStr">
        <is>
          <t>马尼拉 / 新加坡备应用</t>
        </is>
      </c>
      <c r="D38" s="51" t="inlineStr">
        <is>
          <t>90 天</t>
        </is>
      </c>
      <c r="E38" s="41" t="inlineStr">
        <is>
          <t>含数据库账号密码；备 region 使用公网地址 + verify-full</t>
        </is>
      </c>
      <c r="F38" s="41" t="inlineStr">
        <is>
          <t>轮换需两站点同步；经 PgBouncer 时 DSN 指向池地址</t>
        </is>
      </c>
    </row>
    <row r="39">
      <c r="A39" s="51" t="inlineStr">
        <is>
          <t>REDIS_CONN_STRING</t>
        </is>
      </c>
      <c r="B39" s="51" t="inlineStr">
        <is>
          <t>KMS 凭据管家</t>
        </is>
      </c>
      <c r="C39" s="51" t="inlineStr">
        <is>
          <t>马尼拉 / 新加坡备应用</t>
        </is>
      </c>
      <c r="D39" s="51" t="inlineStr">
        <is>
          <t>90 天</t>
        </is>
      </c>
      <c r="E39" s="41" t="inlineStr">
        <is>
          <t>Tair 连接串</t>
        </is>
      </c>
      <c r="F39" s="41" t="inlineStr">
        <is>
          <t>各站点使用各自实例</t>
        </is>
      </c>
    </row>
    <row r="40">
      <c r="A40" s="51" t="inlineStr">
        <is>
          <t>SESSION_SECRET</t>
        </is>
      </c>
      <c r="B40" s="51" t="inlineStr">
        <is>
          <t>KMS 凭据管家</t>
        </is>
      </c>
      <c r="C40" s="51" t="inlineStr">
        <is>
          <t>全部站点</t>
        </is>
      </c>
      <c r="D40" s="51" t="inlineStr">
        <is>
          <t>180 天（双密钥过渡）</t>
        </is>
      </c>
      <c r="E40" s="41" t="inlineStr">
        <is>
          <t>必须全区域全实例一致</t>
        </is>
      </c>
      <c r="F40" s="41" t="inlineStr">
        <is>
          <t>不一致会导致切换后会话全部失效；必须支持新旧密钥并存过渡，否则轮换即全量会话失效（任务 #55）</t>
        </is>
      </c>
    </row>
    <row r="41">
      <c r="A41" s="51" t="inlineStr">
        <is>
          <t>RDS CA 证书</t>
        </is>
      </c>
      <c r="B41" s="51" t="inlineStr">
        <is>
          <t>镜像只读路径 /etc/ssl/rds-ca.pem</t>
        </is>
      </c>
      <c r="C41" s="51" t="inlineStr">
        <is>
          <t>新加坡备 region</t>
        </is>
      </c>
      <c r="D41" s="51" t="inlineStr">
        <is>
          <t>随证书更新</t>
        </is>
      </c>
      <c r="E41" s="41" t="inlineStr">
        <is>
          <t>用于 sslmode=verify-full 校验</t>
        </is>
      </c>
      <c r="F41" s="41" t="inlineStr">
        <is>
          <t>禁止使用 require/disable</t>
        </is>
      </c>
    </row>
    <row r="42">
      <c r="A42" s="51" t="inlineStr">
        <is>
          <t>支付渠道密钥</t>
        </is>
      </c>
      <c r="B42" s="51" t="inlineStr">
        <is>
          <t>KMS 凭据管家</t>
        </is>
      </c>
      <c r="C42" s="51" t="inlineStr">
        <is>
          <t>马尼拉应用</t>
        </is>
      </c>
      <c r="D42" s="51" t="inlineStr">
        <is>
          <t>按渠道要求</t>
        </is>
      </c>
      <c r="E42" s="41" t="inlineStr">
        <is>
          <t>支付回调与退款</t>
        </is>
      </c>
      <c r="F42" s="41" t="inlineStr">
        <is>
          <t>回调路径需在 WAF 放行，并限定支付渠道源 IP 段 + 强制签名校验</t>
        </is>
      </c>
    </row>
    <row r="44">
      <c r="A44" s="78" t="inlineStr">
        <is>
          <t>说明：① 原 v2.0 中 sg-mnl-alb / sg-sg-alb 入向为 0.0.0.0/0，可被直连 ALB 公网 IP 绕过 WAF，本版已收敛为 WAF / DCDN 回源段；② 跨 VPC 对端无法以安全组表达，相关规则改为 CIDR /32，并由 RDS 公网白名单二次收敛；③ 上游出口保留 0.0.0.0/0 出向为必要放通，由目的侧白名单与出向限速约束。</t>
        </is>
      </c>
    </row>
  </sheetData>
  <mergeCells count="5">
    <mergeCell ref="A16:F16"/>
    <mergeCell ref="A36:F36"/>
    <mergeCell ref="A44:F44"/>
    <mergeCell ref="A1:F1"/>
    <mergeCell ref="A22:F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AD83"/>
  <sheetViews>
    <sheetView workbookViewId="0">
      <pane xSplit="2" ySplit="3" topLeftCell="C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style="3" min="1" max="1"/>
    <col width="5" customWidth="1" style="3" min="2" max="2"/>
    <col width="44" customWidth="1" style="3" min="3" max="3"/>
    <col width="9" customWidth="1" style="3" min="4" max="4"/>
    <col width="20" customWidth="1" style="3" min="5" max="5"/>
    <col width="10" customWidth="1" style="3" min="6" max="6"/>
    <col width="9" customWidth="1" style="3" min="7" max="7"/>
    <col width="9" customWidth="1" style="3" min="8" max="8"/>
    <col width="11" customWidth="1" style="3" min="9" max="9"/>
    <col width="6" customWidth="1" style="3" min="10" max="10"/>
    <col width="6" customWidth="1" style="3" min="11" max="11"/>
    <col width="6" customWidth="1" style="3" min="12" max="12"/>
    <col width="6" customWidth="1" style="3" min="13" max="13"/>
    <col width="6" customWidth="1" style="3" min="14" max="14"/>
    <col width="6" customWidth="1" style="3" min="15" max="15"/>
    <col width="6" customWidth="1" style="3" min="16" max="16"/>
    <col width="6" customWidth="1" style="3" min="17" max="17"/>
    <col width="6" customWidth="1" style="3" min="18" max="18"/>
    <col width="6" customWidth="1" style="3" min="19" max="19"/>
    <col width="6" customWidth="1" style="3" min="20" max="20"/>
    <col width="6" customWidth="1" style="3" min="21" max="21"/>
    <col width="6" customWidth="1" style="3" min="22" max="22"/>
    <col width="6" customWidth="1" style="3" min="23" max="23"/>
    <col width="6" customWidth="1" style="3" min="24" max="24"/>
    <col width="6" customWidth="1" style="3" min="25" max="25"/>
    <col width="6" customWidth="1" style="3" min="26" max="26"/>
    <col width="6" customWidth="1" style="3" min="27" max="27"/>
    <col width="40" customWidth="1" style="3" min="28" max="28"/>
    <col width="8" customWidth="1" style="3" min="29" max="29"/>
    <col width="11" customWidth="1" style="3" min="30" max="30"/>
  </cols>
  <sheetData>
    <row r="2">
      <c r="A2" s="80" t="inlineStr">
        <is>
          <t>天 / 时段</t>
        </is>
      </c>
      <c r="B2" s="63" t="n"/>
      <c r="C2" s="63" t="n"/>
      <c r="D2" s="63" t="n"/>
      <c r="E2" s="63" t="n"/>
      <c r="F2" s="63" t="n"/>
      <c r="G2" s="63" t="n"/>
      <c r="H2" s="63" t="n"/>
      <c r="I2" s="45" t="n"/>
      <c r="J2" s="80" t="inlineStr">
        <is>
          <t>D1</t>
        </is>
      </c>
      <c r="K2" s="45" t="n"/>
      <c r="L2" s="80" t="inlineStr">
        <is>
          <t>D2</t>
        </is>
      </c>
      <c r="M2" s="45" t="n"/>
      <c r="N2" s="80" t="inlineStr">
        <is>
          <t>D3</t>
        </is>
      </c>
      <c r="O2" s="45" t="n"/>
      <c r="P2" s="80" t="inlineStr">
        <is>
          <t>D4</t>
        </is>
      </c>
      <c r="Q2" s="45" t="n"/>
      <c r="R2" s="80" t="inlineStr">
        <is>
          <t>D5</t>
        </is>
      </c>
      <c r="S2" s="45" t="n"/>
      <c r="T2" s="80" t="inlineStr">
        <is>
          <t>D6</t>
        </is>
      </c>
      <c r="U2" s="45" t="n"/>
      <c r="V2" s="80" t="inlineStr">
        <is>
          <t>D7</t>
        </is>
      </c>
      <c r="W2" s="45" t="n"/>
      <c r="X2" s="80" t="inlineStr">
        <is>
          <t>D8</t>
        </is>
      </c>
      <c r="Y2" s="45" t="n"/>
      <c r="Z2" s="80" t="inlineStr">
        <is>
          <t>D9</t>
        </is>
      </c>
      <c r="AA2" s="45" t="n"/>
      <c r="AB2" s="82" t="inlineStr">
        <is>
          <t>验收标准 / 状态 / 每时段投入</t>
        </is>
      </c>
    </row>
    <row r="3" ht="30" customHeight="1" s="3">
      <c r="A3" s="73" t="inlineStr">
        <is>
          <t>天</t>
        </is>
      </c>
      <c r="B3" s="73" t="inlineStr">
        <is>
          <t>序号</t>
        </is>
      </c>
      <c r="C3" s="73" t="inlineStr">
        <is>
          <t>任务 / 交付物</t>
        </is>
      </c>
      <c r="D3" s="73" t="inlineStr">
        <is>
          <t>负责</t>
        </is>
      </c>
      <c r="E3" s="73" t="inlineStr">
        <is>
          <t>前置依赖</t>
        </is>
      </c>
      <c r="F3" s="73" t="inlineStr">
        <is>
          <t>工期(人时)</t>
        </is>
      </c>
      <c r="G3" s="73" t="inlineStr">
        <is>
          <t>起始时段</t>
        </is>
      </c>
      <c r="H3" s="73" t="inlineStr">
        <is>
          <t>完成时段</t>
        </is>
      </c>
      <c r="I3" s="73" t="inlineStr">
        <is>
          <t>日期</t>
        </is>
      </c>
      <c r="J3" s="73" t="inlineStr">
        <is>
          <t>S1</t>
        </is>
      </c>
      <c r="K3" s="73" t="inlineStr">
        <is>
          <t>S2</t>
        </is>
      </c>
      <c r="L3" s="73" t="inlineStr">
        <is>
          <t>S3</t>
        </is>
      </c>
      <c r="M3" s="73" t="inlineStr">
        <is>
          <t>S4</t>
        </is>
      </c>
      <c r="N3" s="73" t="inlineStr">
        <is>
          <t>S5</t>
        </is>
      </c>
      <c r="O3" s="73" t="inlineStr">
        <is>
          <t>S6</t>
        </is>
      </c>
      <c r="P3" s="73" t="inlineStr">
        <is>
          <t>S7</t>
        </is>
      </c>
      <c r="Q3" s="73" t="inlineStr">
        <is>
          <t>S8</t>
        </is>
      </c>
      <c r="R3" s="73" t="inlineStr">
        <is>
          <t>S9</t>
        </is>
      </c>
      <c r="S3" s="73" t="inlineStr">
        <is>
          <t>S10</t>
        </is>
      </c>
      <c r="T3" s="73" t="inlineStr">
        <is>
          <t>S11</t>
        </is>
      </c>
      <c r="U3" s="73" t="inlineStr">
        <is>
          <t>S12</t>
        </is>
      </c>
      <c r="V3" s="73" t="inlineStr">
        <is>
          <t>S13</t>
        </is>
      </c>
      <c r="W3" s="73" t="inlineStr">
        <is>
          <t>S14</t>
        </is>
      </c>
      <c r="X3" s="73" t="inlineStr">
        <is>
          <t>S15</t>
        </is>
      </c>
      <c r="Y3" s="73" t="inlineStr">
        <is>
          <t>S16</t>
        </is>
      </c>
      <c r="Z3" s="73" t="inlineStr">
        <is>
          <t>S17</t>
        </is>
      </c>
      <c r="AA3" s="73" t="inlineStr">
        <is>
          <t>S18</t>
        </is>
      </c>
      <c r="AB3" s="73" t="inlineStr">
        <is>
          <t>验收标准</t>
        </is>
      </c>
      <c r="AC3" s="73" t="inlineStr">
        <is>
          <t>状态</t>
        </is>
      </c>
      <c r="AD3" s="73" t="inlineStr">
        <is>
          <t>每时段投入(人时)</t>
        </is>
      </c>
    </row>
    <row r="4">
      <c r="A4" s="74" t="inlineStr">
        <is>
          <t>D1</t>
        </is>
      </c>
      <c r="B4" s="74" t="n">
        <v>1</v>
      </c>
      <c r="C4" s="41" t="inlineStr">
        <is>
          <t>账号/实名/配额/支付最终确认与补件（门禁 G0 收口）</t>
        </is>
      </c>
      <c r="D4" s="74" t="inlineStr">
        <is>
          <t>人员A</t>
        </is>
      </c>
      <c r="E4" s="41" t="inlineStr">
        <is>
          <t>G0（G1–G7/G9 已闭环）</t>
        </is>
      </c>
      <c r="F4" s="51" t="n">
        <v>2</v>
      </c>
      <c r="G4" s="51" t="n">
        <v>1</v>
      </c>
      <c r="H4" s="51" t="n">
        <v>1</v>
      </c>
      <c r="I4" s="83">
        <f>说明与总览!$B$21+VALUE(MID($A4,2,1))-1</f>
        <v/>
      </c>
      <c r="J4" s="51">
        <f>IF(AND($G4&lt;=1,$H4&gt;=1),"■■","")</f>
        <v/>
      </c>
      <c r="K4" s="51">
        <f>IF(AND($G4&lt;=2,$H4&gt;=2),"■■","")</f>
        <v/>
      </c>
      <c r="L4" s="51">
        <f>IF(AND($G4&lt;=3,$H4&gt;=3),"■■","")</f>
        <v/>
      </c>
      <c r="M4" s="51">
        <f>IF(AND($G4&lt;=4,$H4&gt;=4),"■■","")</f>
        <v/>
      </c>
      <c r="N4" s="51">
        <f>IF(AND($G4&lt;=5,$H4&gt;=5),"■■","")</f>
        <v/>
      </c>
      <c r="O4" s="51">
        <f>IF(AND($G4&lt;=6,$H4&gt;=6),"■■","")</f>
        <v/>
      </c>
      <c r="P4" s="51">
        <f>IF(AND($G4&lt;=7,$H4&gt;=7),"■■","")</f>
        <v/>
      </c>
      <c r="Q4" s="51">
        <f>IF(AND($G4&lt;=8,$H4&gt;=8),"■■","")</f>
        <v/>
      </c>
      <c r="R4" s="51">
        <f>IF(AND($G4&lt;=9,$H4&gt;=9),"■■","")</f>
        <v/>
      </c>
      <c r="S4" s="51">
        <f>IF(AND($G4&lt;=10,$H4&gt;=10),"■■","")</f>
        <v/>
      </c>
      <c r="T4" s="51">
        <f>IF(AND($G4&lt;=11,$H4&gt;=11),"■■","")</f>
        <v/>
      </c>
      <c r="U4" s="51">
        <f>IF(AND($G4&lt;=12,$H4&gt;=12),"■■","")</f>
        <v/>
      </c>
      <c r="V4" s="51">
        <f>IF(AND($G4&lt;=13,$H4&gt;=13),"■■","")</f>
        <v/>
      </c>
      <c r="W4" s="51">
        <f>IF(AND($G4&lt;=14,$H4&gt;=14),"■■","")</f>
        <v/>
      </c>
      <c r="X4" s="51">
        <f>IF(AND($G4&lt;=15,$H4&gt;=15),"■■","")</f>
        <v/>
      </c>
      <c r="Y4" s="51">
        <f>IF(AND($G4&lt;=16,$H4&gt;=16),"■■","")</f>
        <v/>
      </c>
      <c r="Z4" s="51">
        <f>IF(AND($G4&lt;=17,$H4&gt;=17),"■■","")</f>
        <v/>
      </c>
      <c r="AA4" s="51">
        <f>IF(AND($G4&lt;=18,$H4&gt;=18),"■■","")</f>
        <v/>
      </c>
      <c r="AB4" s="41" t="inlineStr">
        <is>
          <t>G0 门禁全部通过，无遗留待批复项</t>
        </is>
      </c>
      <c r="AC4" s="41" t="inlineStr">
        <is>
          <t>未开始</t>
        </is>
      </c>
      <c r="AD4" s="51">
        <f>IF($H4&lt;$G4,0,$F4/($H4-$G4+1))</f>
        <v/>
      </c>
    </row>
    <row r="5">
      <c r="A5" s="74" t="inlineStr">
        <is>
          <t>D1</t>
        </is>
      </c>
      <c r="B5" s="74" t="n">
        <v>2</v>
      </c>
      <c r="C5" s="41" t="inlineStr">
        <is>
          <t>域名解析记录与 NS 生效复核</t>
        </is>
      </c>
      <c r="D5" s="74" t="inlineStr">
        <is>
          <t>人员B</t>
        </is>
      </c>
      <c r="E5" s="41" t="inlineStr">
        <is>
          <t>G4,G5</t>
        </is>
      </c>
      <c r="F5" s="51" t="n">
        <v>1</v>
      </c>
      <c r="G5" s="51" t="n">
        <v>2</v>
      </c>
      <c r="H5" s="51" t="n">
        <v>2</v>
      </c>
      <c r="I5" s="83">
        <f>说明与总览!$B$21+VALUE(MID($A5,2,1))-1</f>
        <v/>
      </c>
      <c r="J5" s="51">
        <f>IF(AND($G5&lt;=1,$H5&gt;=1),"■■","")</f>
        <v/>
      </c>
      <c r="K5" s="51">
        <f>IF(AND($G5&lt;=2,$H5&gt;=2),"■■","")</f>
        <v/>
      </c>
      <c r="L5" s="51">
        <f>IF(AND($G5&lt;=3,$H5&gt;=3),"■■","")</f>
        <v/>
      </c>
      <c r="M5" s="51">
        <f>IF(AND($G5&lt;=4,$H5&gt;=4),"■■","")</f>
        <v/>
      </c>
      <c r="N5" s="51">
        <f>IF(AND($G5&lt;=5,$H5&gt;=5),"■■","")</f>
        <v/>
      </c>
      <c r="O5" s="51">
        <f>IF(AND($G5&lt;=6,$H5&gt;=6),"■■","")</f>
        <v/>
      </c>
      <c r="P5" s="51">
        <f>IF(AND($G5&lt;=7,$H5&gt;=7),"■■","")</f>
        <v/>
      </c>
      <c r="Q5" s="51">
        <f>IF(AND($G5&lt;=8,$H5&gt;=8),"■■","")</f>
        <v/>
      </c>
      <c r="R5" s="51">
        <f>IF(AND($G5&lt;=9,$H5&gt;=9),"■■","")</f>
        <v/>
      </c>
      <c r="S5" s="51">
        <f>IF(AND($G5&lt;=10,$H5&gt;=10),"■■","")</f>
        <v/>
      </c>
      <c r="T5" s="51">
        <f>IF(AND($G5&lt;=11,$H5&gt;=11),"■■","")</f>
        <v/>
      </c>
      <c r="U5" s="51">
        <f>IF(AND($G5&lt;=12,$H5&gt;=12),"■■","")</f>
        <v/>
      </c>
      <c r="V5" s="51">
        <f>IF(AND($G5&lt;=13,$H5&gt;=13),"■■","")</f>
        <v/>
      </c>
      <c r="W5" s="51">
        <f>IF(AND($G5&lt;=14,$H5&gt;=14),"■■","")</f>
        <v/>
      </c>
      <c r="X5" s="51">
        <f>IF(AND($G5&lt;=15,$H5&gt;=15),"■■","")</f>
        <v/>
      </c>
      <c r="Y5" s="51">
        <f>IF(AND($G5&lt;=16,$H5&gt;=16),"■■","")</f>
        <v/>
      </c>
      <c r="Z5" s="51">
        <f>IF(AND($G5&lt;=17,$H5&gt;=17),"■■","")</f>
        <v/>
      </c>
      <c r="AA5" s="51">
        <f>IF(AND($G5&lt;=18,$H5&gt;=18),"■■","")</f>
        <v/>
      </c>
      <c r="AB5" s="41" t="inlineStr">
        <is>
          <t>dig 权威解析生效，解析记录无冲突</t>
        </is>
      </c>
      <c r="AC5" s="41" t="inlineStr">
        <is>
          <t>未开始</t>
        </is>
      </c>
      <c r="AD5" s="51">
        <f>IF($H5&lt;$G5,0,$F5/($H5-$G5+1))</f>
        <v/>
      </c>
    </row>
    <row r="6">
      <c r="A6" s="74" t="inlineStr">
        <is>
          <t>D1</t>
        </is>
      </c>
      <c r="B6" s="74" t="n">
        <v>3</v>
      </c>
      <c r="C6" s="41" t="inlineStr">
        <is>
          <t>证书就绪与部署预置（配置模板 / KMS 托管私钥 / 到期告警）</t>
        </is>
      </c>
      <c r="D6" s="74" t="inlineStr">
        <is>
          <t>人员A</t>
        </is>
      </c>
      <c r="E6" s="41" t="inlineStr">
        <is>
          <t>G6</t>
        </is>
      </c>
      <c r="F6" s="51" t="n">
        <v>1</v>
      </c>
      <c r="G6" s="51" t="n">
        <v>1</v>
      </c>
      <c r="H6" s="51" t="n">
        <v>1</v>
      </c>
      <c r="I6" s="83">
        <f>说明与总览!$B$21+VALUE(MID($A6,2,1))-1</f>
        <v/>
      </c>
      <c r="J6" s="51">
        <f>IF(AND($G6&lt;=1,$H6&gt;=1),"■■","")</f>
        <v/>
      </c>
      <c r="K6" s="51">
        <f>IF(AND($G6&lt;=2,$H6&gt;=2),"■■","")</f>
        <v/>
      </c>
      <c r="L6" s="51">
        <f>IF(AND($G6&lt;=3,$H6&gt;=3),"■■","")</f>
        <v/>
      </c>
      <c r="M6" s="51">
        <f>IF(AND($G6&lt;=4,$H6&gt;=4),"■■","")</f>
        <v/>
      </c>
      <c r="N6" s="51">
        <f>IF(AND($G6&lt;=5,$H6&gt;=5),"■■","")</f>
        <v/>
      </c>
      <c r="O6" s="51">
        <f>IF(AND($G6&lt;=6,$H6&gt;=6),"■■","")</f>
        <v/>
      </c>
      <c r="P6" s="51">
        <f>IF(AND($G6&lt;=7,$H6&gt;=7),"■■","")</f>
        <v/>
      </c>
      <c r="Q6" s="51">
        <f>IF(AND($G6&lt;=8,$H6&gt;=8),"■■","")</f>
        <v/>
      </c>
      <c r="R6" s="51">
        <f>IF(AND($G6&lt;=9,$H6&gt;=9),"■■","")</f>
        <v/>
      </c>
      <c r="S6" s="51">
        <f>IF(AND($G6&lt;=10,$H6&gt;=10),"■■","")</f>
        <v/>
      </c>
      <c r="T6" s="51">
        <f>IF(AND($G6&lt;=11,$H6&gt;=11),"■■","")</f>
        <v/>
      </c>
      <c r="U6" s="51">
        <f>IF(AND($G6&lt;=12,$H6&gt;=12),"■■","")</f>
        <v/>
      </c>
      <c r="V6" s="51">
        <f>IF(AND($G6&lt;=13,$H6&gt;=13),"■■","")</f>
        <v/>
      </c>
      <c r="W6" s="51">
        <f>IF(AND($G6&lt;=14,$H6&gt;=14),"■■","")</f>
        <v/>
      </c>
      <c r="X6" s="51">
        <f>IF(AND($G6&lt;=15,$H6&gt;=15),"■■","")</f>
        <v/>
      </c>
      <c r="Y6" s="51">
        <f>IF(AND($G6&lt;=16,$H6&gt;=16),"■■","")</f>
        <v/>
      </c>
      <c r="Z6" s="51">
        <f>IF(AND($G6&lt;=17,$H6&gt;=17),"■■","")</f>
        <v/>
      </c>
      <c r="AA6" s="51">
        <f>IF(AND($G6&lt;=18,$H6&gt;=18),"■■","")</f>
        <v/>
      </c>
      <c r="AB6" s="41" t="inlineStr">
        <is>
          <t>证书已签发、私钥托管 KMS、30 天到期告警生效</t>
        </is>
      </c>
      <c r="AC6" s="41" t="inlineStr">
        <is>
          <t>未开始</t>
        </is>
      </c>
      <c r="AD6" s="51">
        <f>IF($H6&lt;$G6,0,$F6/($H6-$G6+1))</f>
        <v/>
      </c>
    </row>
    <row r="7">
      <c r="A7" s="74" t="inlineStr">
        <is>
          <t>D1</t>
        </is>
      </c>
      <c r="B7" s="74" t="n">
        <v>4</v>
      </c>
      <c r="C7" s="41" t="inlineStr">
        <is>
          <t>创建马尼拉 RDS PostgreSQL 高可用版（主备跨 AZ）+ 参数组</t>
        </is>
      </c>
      <c r="D7" s="74" t="inlineStr">
        <is>
          <t>人员B</t>
        </is>
      </c>
      <c r="E7" s="41" t="inlineStr">
        <is>
          <t>G2,G3</t>
        </is>
      </c>
      <c r="F7" s="51" t="n">
        <v>2</v>
      </c>
      <c r="G7" s="51" t="n">
        <v>2</v>
      </c>
      <c r="H7" s="51" t="n">
        <v>2</v>
      </c>
      <c r="I7" s="83">
        <f>说明与总览!$B$21+VALUE(MID($A7,2,1))-1</f>
        <v/>
      </c>
      <c r="J7" s="51">
        <f>IF(AND($G7&lt;=1,$H7&gt;=1),"■■","")</f>
        <v/>
      </c>
      <c r="K7" s="51">
        <f>IF(AND($G7&lt;=2,$H7&gt;=2),"■■","")</f>
        <v/>
      </c>
      <c r="L7" s="51">
        <f>IF(AND($G7&lt;=3,$H7&gt;=3),"■■","")</f>
        <v/>
      </c>
      <c r="M7" s="51">
        <f>IF(AND($G7&lt;=4,$H7&gt;=4),"■■","")</f>
        <v/>
      </c>
      <c r="N7" s="51">
        <f>IF(AND($G7&lt;=5,$H7&gt;=5),"■■","")</f>
        <v/>
      </c>
      <c r="O7" s="51">
        <f>IF(AND($G7&lt;=6,$H7&gt;=6),"■■","")</f>
        <v/>
      </c>
      <c r="P7" s="51">
        <f>IF(AND($G7&lt;=7,$H7&gt;=7),"■■","")</f>
        <v/>
      </c>
      <c r="Q7" s="51">
        <f>IF(AND($G7&lt;=8,$H7&gt;=8),"■■","")</f>
        <v/>
      </c>
      <c r="R7" s="51">
        <f>IF(AND($G7&lt;=9,$H7&gt;=9),"■■","")</f>
        <v/>
      </c>
      <c r="S7" s="51">
        <f>IF(AND($G7&lt;=10,$H7&gt;=10),"■■","")</f>
        <v/>
      </c>
      <c r="T7" s="51">
        <f>IF(AND($G7&lt;=11,$H7&gt;=11),"■■","")</f>
        <v/>
      </c>
      <c r="U7" s="51">
        <f>IF(AND($G7&lt;=12,$H7&gt;=12),"■■","")</f>
        <v/>
      </c>
      <c r="V7" s="51">
        <f>IF(AND($G7&lt;=13,$H7&gt;=13),"■■","")</f>
        <v/>
      </c>
      <c r="W7" s="51">
        <f>IF(AND($G7&lt;=14,$H7&gt;=14),"■■","")</f>
        <v/>
      </c>
      <c r="X7" s="51">
        <f>IF(AND($G7&lt;=15,$H7&gt;=15),"■■","")</f>
        <v/>
      </c>
      <c r="Y7" s="51">
        <f>IF(AND($G7&lt;=16,$H7&gt;=16),"■■","")</f>
        <v/>
      </c>
      <c r="Z7" s="51">
        <f>IF(AND($G7&lt;=17,$H7&gt;=17),"■■","")</f>
        <v/>
      </c>
      <c r="AA7" s="51">
        <f>IF(AND($G7&lt;=18,$H7&gt;=18),"■■","")</f>
        <v/>
      </c>
      <c r="AB7" s="41" t="inlineStr">
        <is>
          <t>实例可连、主备跨可用区、参数组生效</t>
        </is>
      </c>
      <c r="AC7" s="41" t="inlineStr">
        <is>
          <t>未开始</t>
        </is>
      </c>
      <c r="AD7" s="51">
        <f>IF($H7&lt;$G7,0,$F7/($H7-$G7+1))</f>
        <v/>
      </c>
    </row>
    <row r="8">
      <c r="A8" s="74" t="inlineStr">
        <is>
          <t>D1</t>
        </is>
      </c>
      <c r="B8" s="74" t="n">
        <v>5</v>
      </c>
      <c r="C8" s="41" t="inlineStr">
        <is>
          <t>创建马尼拉 VPC 与 4 组 vSwitch（跨 2 AZ）</t>
        </is>
      </c>
      <c r="D8" s="74" t="inlineStr">
        <is>
          <t>人员A</t>
        </is>
      </c>
      <c r="E8" s="41" t="inlineStr">
        <is>
          <t>G1,G2</t>
        </is>
      </c>
      <c r="F8" s="51" t="n">
        <v>4</v>
      </c>
      <c r="G8" s="51" t="n">
        <v>2</v>
      </c>
      <c r="H8" s="51" t="n">
        <v>2</v>
      </c>
      <c r="I8" s="83">
        <f>说明与总览!$B$21+VALUE(MID($A8,2,1))-1</f>
        <v/>
      </c>
      <c r="J8" s="51">
        <f>IF(AND($G8&lt;=1,$H8&gt;=1),"■■","")</f>
        <v/>
      </c>
      <c r="K8" s="51">
        <f>IF(AND($G8&lt;=2,$H8&gt;=2),"■■","")</f>
        <v/>
      </c>
      <c r="L8" s="51">
        <f>IF(AND($G8&lt;=3,$H8&gt;=3),"■■","")</f>
        <v/>
      </c>
      <c r="M8" s="51">
        <f>IF(AND($G8&lt;=4,$H8&gt;=4),"■■","")</f>
        <v/>
      </c>
      <c r="N8" s="51">
        <f>IF(AND($G8&lt;=5,$H8&gt;=5),"■■","")</f>
        <v/>
      </c>
      <c r="O8" s="51">
        <f>IF(AND($G8&lt;=6,$H8&gt;=6),"■■","")</f>
        <v/>
      </c>
      <c r="P8" s="51">
        <f>IF(AND($G8&lt;=7,$H8&gt;=7),"■■","")</f>
        <v/>
      </c>
      <c r="Q8" s="51">
        <f>IF(AND($G8&lt;=8,$H8&gt;=8),"■■","")</f>
        <v/>
      </c>
      <c r="R8" s="51">
        <f>IF(AND($G8&lt;=9,$H8&gt;=9),"■■","")</f>
        <v/>
      </c>
      <c r="S8" s="51">
        <f>IF(AND($G8&lt;=10,$H8&gt;=10),"■■","")</f>
        <v/>
      </c>
      <c r="T8" s="51">
        <f>IF(AND($G8&lt;=11,$H8&gt;=11),"■■","")</f>
        <v/>
      </c>
      <c r="U8" s="51">
        <f>IF(AND($G8&lt;=12,$H8&gt;=12),"■■","")</f>
        <v/>
      </c>
      <c r="V8" s="51">
        <f>IF(AND($G8&lt;=13,$H8&gt;=13),"■■","")</f>
        <v/>
      </c>
      <c r="W8" s="51">
        <f>IF(AND($G8&lt;=14,$H8&gt;=14),"■■","")</f>
        <v/>
      </c>
      <c r="X8" s="51">
        <f>IF(AND($G8&lt;=15,$H8&gt;=15),"■■","")</f>
        <v/>
      </c>
      <c r="Y8" s="51">
        <f>IF(AND($G8&lt;=16,$H8&gt;=16),"■■","")</f>
        <v/>
      </c>
      <c r="Z8" s="51">
        <f>IF(AND($G8&lt;=17,$H8&gt;=17),"■■","")</f>
        <v/>
      </c>
      <c r="AA8" s="51">
        <f>IF(AND($G8&lt;=18,$H8&gt;=18),"■■","")</f>
        <v/>
      </c>
      <c r="AB8" s="41" t="inlineStr">
        <is>
          <t>网段与「网络与安全规划」完全一致</t>
        </is>
      </c>
      <c r="AC8" s="41" t="inlineStr">
        <is>
          <t>未开始</t>
        </is>
      </c>
      <c r="AD8" s="51">
        <f>IF($H8&lt;$G8,0,$F8/($H8-$G8+1))</f>
        <v/>
      </c>
    </row>
    <row r="9">
      <c r="A9" s="74" t="inlineStr">
        <is>
          <t>D2</t>
        </is>
      </c>
      <c r="B9" s="74" t="n">
        <v>6</v>
      </c>
      <c r="C9" s="41" t="inlineStr">
        <is>
          <t>创建马尼拉 NAT 网关与上游出口 EIP 池（含带宽规格）</t>
        </is>
      </c>
      <c r="D9" s="74" t="inlineStr">
        <is>
          <t>人员A</t>
        </is>
      </c>
      <c r="E9" s="41" t="inlineStr">
        <is>
          <t>5</t>
        </is>
      </c>
      <c r="F9" s="51" t="n">
        <v>2</v>
      </c>
      <c r="G9" s="51" t="n">
        <v>3</v>
      </c>
      <c r="H9" s="51" t="n">
        <v>3</v>
      </c>
      <c r="I9" s="83">
        <f>说明与总览!$B$21+VALUE(MID($A9,2,1))-1</f>
        <v/>
      </c>
      <c r="J9" s="51">
        <f>IF(AND($G9&lt;=1,$H9&gt;=1),"■■","")</f>
        <v/>
      </c>
      <c r="K9" s="51">
        <f>IF(AND($G9&lt;=2,$H9&gt;=2),"■■","")</f>
        <v/>
      </c>
      <c r="L9" s="51">
        <f>IF(AND($G9&lt;=3,$H9&gt;=3),"■■","")</f>
        <v/>
      </c>
      <c r="M9" s="51">
        <f>IF(AND($G9&lt;=4,$H9&gt;=4),"■■","")</f>
        <v/>
      </c>
      <c r="N9" s="51">
        <f>IF(AND($G9&lt;=5,$H9&gt;=5),"■■","")</f>
        <v/>
      </c>
      <c r="O9" s="51">
        <f>IF(AND($G9&lt;=6,$H9&gt;=6),"■■","")</f>
        <v/>
      </c>
      <c r="P9" s="51">
        <f>IF(AND($G9&lt;=7,$H9&gt;=7),"■■","")</f>
        <v/>
      </c>
      <c r="Q9" s="51">
        <f>IF(AND($G9&lt;=8,$H9&gt;=8),"■■","")</f>
        <v/>
      </c>
      <c r="R9" s="51">
        <f>IF(AND($G9&lt;=9,$H9&gt;=9),"■■","")</f>
        <v/>
      </c>
      <c r="S9" s="51">
        <f>IF(AND($G9&lt;=10,$H9&gt;=10),"■■","")</f>
        <v/>
      </c>
      <c r="T9" s="51">
        <f>IF(AND($G9&lt;=11,$H9&gt;=11),"■■","")</f>
        <v/>
      </c>
      <c r="U9" s="51">
        <f>IF(AND($G9&lt;=12,$H9&gt;=12),"■■","")</f>
        <v/>
      </c>
      <c r="V9" s="51">
        <f>IF(AND($G9&lt;=13,$H9&gt;=13),"■■","")</f>
        <v/>
      </c>
      <c r="W9" s="51">
        <f>IF(AND($G9&lt;=14,$H9&gt;=14),"■■","")</f>
        <v/>
      </c>
      <c r="X9" s="51">
        <f>IF(AND($G9&lt;=15,$H9&gt;=15),"■■","")</f>
        <v/>
      </c>
      <c r="Y9" s="51">
        <f>IF(AND($G9&lt;=16,$H9&gt;=16),"■■","")</f>
        <v/>
      </c>
      <c r="Z9" s="51">
        <f>IF(AND($G9&lt;=17,$H9&gt;=17),"■■","")</f>
        <v/>
      </c>
      <c r="AA9" s="51">
        <f>IF(AND($G9&lt;=18,$H9&gt;=18),"■■","")</f>
        <v/>
      </c>
      <c r="AB9" s="41" t="inlineStr">
        <is>
          <t>EIP 固定可出网，NAT 带宽规格已确认</t>
        </is>
      </c>
      <c r="AC9" s="41" t="inlineStr">
        <is>
          <t>未开始</t>
        </is>
      </c>
      <c r="AD9" s="51">
        <f>IF($H9&lt;$G9,0,$F9/($H9-$G9+1))</f>
        <v/>
      </c>
    </row>
    <row r="10">
      <c r="A10" s="74" t="inlineStr">
        <is>
          <t>D2</t>
        </is>
      </c>
      <c r="B10" s="74" t="n">
        <v>7</v>
      </c>
      <c r="C10" s="41" t="inlineStr">
        <is>
          <t>创建 Tair 主备版实例</t>
        </is>
      </c>
      <c r="D10" s="74" t="inlineStr">
        <is>
          <t>人员B</t>
        </is>
      </c>
      <c r="E10" s="41" t="inlineStr">
        <is>
          <t>4</t>
        </is>
      </c>
      <c r="F10" s="51" t="n">
        <v>1</v>
      </c>
      <c r="G10" s="51" t="n">
        <v>3</v>
      </c>
      <c r="H10" s="51" t="n">
        <v>3</v>
      </c>
      <c r="I10" s="83">
        <f>说明与总览!$B$21+VALUE(MID($A10,2,1))-1</f>
        <v/>
      </c>
      <c r="J10" s="51">
        <f>IF(AND($G10&lt;=1,$H10&gt;=1),"■■","")</f>
        <v/>
      </c>
      <c r="K10" s="51">
        <f>IF(AND($G10&lt;=2,$H10&gt;=2),"■■","")</f>
        <v/>
      </c>
      <c r="L10" s="51">
        <f>IF(AND($G10&lt;=3,$H10&gt;=3),"■■","")</f>
        <v/>
      </c>
      <c r="M10" s="51">
        <f>IF(AND($G10&lt;=4,$H10&gt;=4),"■■","")</f>
        <v/>
      </c>
      <c r="N10" s="51">
        <f>IF(AND($G10&lt;=5,$H10&gt;=5),"■■","")</f>
        <v/>
      </c>
      <c r="O10" s="51">
        <f>IF(AND($G10&lt;=6,$H10&gt;=6),"■■","")</f>
        <v/>
      </c>
      <c r="P10" s="51">
        <f>IF(AND($G10&lt;=7,$H10&gt;=7),"■■","")</f>
        <v/>
      </c>
      <c r="Q10" s="51">
        <f>IF(AND($G10&lt;=8,$H10&gt;=8),"■■","")</f>
        <v/>
      </c>
      <c r="R10" s="51">
        <f>IF(AND($G10&lt;=9,$H10&gt;=9),"■■","")</f>
        <v/>
      </c>
      <c r="S10" s="51">
        <f>IF(AND($G10&lt;=10,$H10&gt;=10),"■■","")</f>
        <v/>
      </c>
      <c r="T10" s="51">
        <f>IF(AND($G10&lt;=11,$H10&gt;=11),"■■","")</f>
        <v/>
      </c>
      <c r="U10" s="51">
        <f>IF(AND($G10&lt;=12,$H10&gt;=12),"■■","")</f>
        <v/>
      </c>
      <c r="V10" s="51">
        <f>IF(AND($G10&lt;=13,$H10&gt;=13),"■■","")</f>
        <v/>
      </c>
      <c r="W10" s="51">
        <f>IF(AND($G10&lt;=14,$H10&gt;=14),"■■","")</f>
        <v/>
      </c>
      <c r="X10" s="51">
        <f>IF(AND($G10&lt;=15,$H10&gt;=15),"■■","")</f>
        <v/>
      </c>
      <c r="Y10" s="51">
        <f>IF(AND($G10&lt;=16,$H10&gt;=16),"■■","")</f>
        <v/>
      </c>
      <c r="Z10" s="51">
        <f>IF(AND($G10&lt;=17,$H10&gt;=17),"■■","")</f>
        <v/>
      </c>
      <c r="AA10" s="51">
        <f>IF(AND($G10&lt;=18,$H10&gt;=18),"■■","")</f>
        <v/>
      </c>
      <c r="AB10" s="41" t="inlineStr">
        <is>
          <t>连接与 ACL 认证验证通过</t>
        </is>
      </c>
      <c r="AC10" s="41" t="inlineStr">
        <is>
          <t>未开始</t>
        </is>
      </c>
      <c r="AD10" s="51">
        <f>IF($H10&lt;$G10,0,$F10/($H10-$G10+1))</f>
        <v/>
      </c>
    </row>
    <row r="11">
      <c r="A11" s="74" t="inlineStr">
        <is>
          <t>D1</t>
        </is>
      </c>
      <c r="B11" s="74" t="n">
        <v>8</v>
      </c>
      <c r="C11" s="41" t="inlineStr">
        <is>
          <t>创建 OSS Bucket（ZRS + 版本控制 + 生命周期）</t>
        </is>
      </c>
      <c r="D11" s="74" t="inlineStr">
        <is>
          <t>人员B</t>
        </is>
      </c>
      <c r="E11" s="41" t="inlineStr">
        <is>
          <t>G7</t>
        </is>
      </c>
      <c r="F11" s="51" t="n">
        <v>1</v>
      </c>
      <c r="G11" s="51" t="n">
        <v>1</v>
      </c>
      <c r="H11" s="51" t="n">
        <v>1</v>
      </c>
      <c r="I11" s="83">
        <f>说明与总览!$B$21+VALUE(MID($A11,2,1))-1</f>
        <v/>
      </c>
      <c r="J11" s="51">
        <f>IF(AND($G11&lt;=1,$H11&gt;=1),"■■","")</f>
        <v/>
      </c>
      <c r="K11" s="51">
        <f>IF(AND($G11&lt;=2,$H11&gt;=2),"■■","")</f>
        <v/>
      </c>
      <c r="L11" s="51">
        <f>IF(AND($G11&lt;=3,$H11&gt;=3),"■■","")</f>
        <v/>
      </c>
      <c r="M11" s="51">
        <f>IF(AND($G11&lt;=4,$H11&gt;=4),"■■","")</f>
        <v/>
      </c>
      <c r="N11" s="51">
        <f>IF(AND($G11&lt;=5,$H11&gt;=5),"■■","")</f>
        <v/>
      </c>
      <c r="O11" s="51">
        <f>IF(AND($G11&lt;=6,$H11&gt;=6),"■■","")</f>
        <v/>
      </c>
      <c r="P11" s="51">
        <f>IF(AND($G11&lt;=7,$H11&gt;=7),"■■","")</f>
        <v/>
      </c>
      <c r="Q11" s="51">
        <f>IF(AND($G11&lt;=8,$H11&gt;=8),"■■","")</f>
        <v/>
      </c>
      <c r="R11" s="51">
        <f>IF(AND($G11&lt;=9,$H11&gt;=9),"■■","")</f>
        <v/>
      </c>
      <c r="S11" s="51">
        <f>IF(AND($G11&lt;=10,$H11&gt;=10),"■■","")</f>
        <v/>
      </c>
      <c r="T11" s="51">
        <f>IF(AND($G11&lt;=11,$H11&gt;=11),"■■","")</f>
        <v/>
      </c>
      <c r="U11" s="51">
        <f>IF(AND($G11&lt;=12,$H11&gt;=12),"■■","")</f>
        <v/>
      </c>
      <c r="V11" s="51">
        <f>IF(AND($G11&lt;=13,$H11&gt;=13),"■■","")</f>
        <v/>
      </c>
      <c r="W11" s="51">
        <f>IF(AND($G11&lt;=14,$H11&gt;=14),"■■","")</f>
        <v/>
      </c>
      <c r="X11" s="51">
        <f>IF(AND($G11&lt;=15,$H11&gt;=15),"■■","")</f>
        <v/>
      </c>
      <c r="Y11" s="51">
        <f>IF(AND($G11&lt;=16,$H11&gt;=16),"■■","")</f>
        <v/>
      </c>
      <c r="Z11" s="51">
        <f>IF(AND($G11&lt;=17,$H11&gt;=17),"■■","")</f>
        <v/>
      </c>
      <c r="AA11" s="51">
        <f>IF(AND($G11&lt;=18,$H11&gt;=18),"■■","")</f>
        <v/>
      </c>
      <c r="AB11" s="41" t="inlineStr">
        <is>
          <t>策略与防盗链规则生效</t>
        </is>
      </c>
      <c r="AC11" s="41" t="inlineStr">
        <is>
          <t>未开始</t>
        </is>
      </c>
      <c r="AD11" s="51">
        <f>IF($H11&lt;$G11,0,$F11/($H11-$G11+1))</f>
        <v/>
      </c>
    </row>
    <row r="12">
      <c r="A12" s="74" t="inlineStr">
        <is>
          <t>D1</t>
        </is>
      </c>
      <c r="B12" s="74" t="n">
        <v>9</v>
      </c>
      <c r="C12" s="41" t="inlineStr">
        <is>
          <t>创建 ClickHouse 2 节点日志库（TTL 90 天）</t>
        </is>
      </c>
      <c r="D12" s="74" t="inlineStr">
        <is>
          <t>人员B</t>
        </is>
      </c>
      <c r="E12" s="41" t="inlineStr">
        <is>
          <t>G7</t>
        </is>
      </c>
      <c r="F12" s="51" t="n">
        <v>2</v>
      </c>
      <c r="G12" s="51" t="n">
        <v>1</v>
      </c>
      <c r="H12" s="51" t="n">
        <v>1</v>
      </c>
      <c r="I12" s="83">
        <f>说明与总览!$B$21+VALUE(MID($A12,2,1))-1</f>
        <v/>
      </c>
      <c r="J12" s="51">
        <f>IF(AND($G12&lt;=1,$H12&gt;=1),"■■","")</f>
        <v/>
      </c>
      <c r="K12" s="51">
        <f>IF(AND($G12&lt;=2,$H12&gt;=2),"■■","")</f>
        <v/>
      </c>
      <c r="L12" s="51">
        <f>IF(AND($G12&lt;=3,$H12&gt;=3),"■■","")</f>
        <v/>
      </c>
      <c r="M12" s="51">
        <f>IF(AND($G12&lt;=4,$H12&gt;=4),"■■","")</f>
        <v/>
      </c>
      <c r="N12" s="51">
        <f>IF(AND($G12&lt;=5,$H12&gt;=5),"■■","")</f>
        <v/>
      </c>
      <c r="O12" s="51">
        <f>IF(AND($G12&lt;=6,$H12&gt;=6),"■■","")</f>
        <v/>
      </c>
      <c r="P12" s="51">
        <f>IF(AND($G12&lt;=7,$H12&gt;=7),"■■","")</f>
        <v/>
      </c>
      <c r="Q12" s="51">
        <f>IF(AND($G12&lt;=8,$H12&gt;=8),"■■","")</f>
        <v/>
      </c>
      <c r="R12" s="51">
        <f>IF(AND($G12&lt;=9,$H12&gt;=9),"■■","")</f>
        <v/>
      </c>
      <c r="S12" s="51">
        <f>IF(AND($G12&lt;=10,$H12&gt;=10),"■■","")</f>
        <v/>
      </c>
      <c r="T12" s="51">
        <f>IF(AND($G12&lt;=11,$H12&gt;=11),"■■","")</f>
        <v/>
      </c>
      <c r="U12" s="51">
        <f>IF(AND($G12&lt;=12,$H12&gt;=12),"■■","")</f>
        <v/>
      </c>
      <c r="V12" s="51">
        <f>IF(AND($G12&lt;=13,$H12&gt;=13),"■■","")</f>
        <v/>
      </c>
      <c r="W12" s="51">
        <f>IF(AND($G12&lt;=14,$H12&gt;=14),"■■","")</f>
        <v/>
      </c>
      <c r="X12" s="51">
        <f>IF(AND($G12&lt;=15,$H12&gt;=15),"■■","")</f>
        <v/>
      </c>
      <c r="Y12" s="51">
        <f>IF(AND($G12&lt;=16,$H12&gt;=16),"■■","")</f>
        <v/>
      </c>
      <c r="Z12" s="51">
        <f>IF(AND($G12&lt;=17,$H12&gt;=17),"■■","")</f>
        <v/>
      </c>
      <c r="AA12" s="51">
        <f>IF(AND($G12&lt;=18,$H12&gt;=18),"■■","")</f>
        <v/>
      </c>
      <c r="AB12" s="41" t="inlineStr">
        <is>
          <t>写入成功且 TTL 生效</t>
        </is>
      </c>
      <c r="AC12" s="41" t="inlineStr">
        <is>
          <t>未开始</t>
        </is>
      </c>
      <c r="AD12" s="51">
        <f>IF($H12&lt;$G12,0,$F12/($H12-$G12+1))</f>
        <v/>
      </c>
    </row>
    <row r="13">
      <c r="A13" s="74" t="inlineStr">
        <is>
          <t>D2</t>
        </is>
      </c>
      <c r="B13" s="74" t="n">
        <v>10</v>
      </c>
      <c r="C13" s="41" t="inlineStr">
        <is>
          <t>创建马尼拉 ACK Pro 集群（K8s 1.31 + Terway + RRSA + API Server 私网端点）</t>
        </is>
      </c>
      <c r="D13" s="74" t="inlineStr">
        <is>
          <t>人员A</t>
        </is>
      </c>
      <c r="E13" s="41" t="inlineStr">
        <is>
          <t>5,6</t>
        </is>
      </c>
      <c r="F13" s="51" t="n">
        <v>2</v>
      </c>
      <c r="G13" s="51" t="n">
        <v>4</v>
      </c>
      <c r="H13" s="51" t="n">
        <v>4</v>
      </c>
      <c r="I13" s="83">
        <f>说明与总览!$B$21+VALUE(MID($A13,2,1))-1</f>
        <v/>
      </c>
      <c r="J13" s="51">
        <f>IF(AND($G13&lt;=1,$H13&gt;=1),"■■","")</f>
        <v/>
      </c>
      <c r="K13" s="51">
        <f>IF(AND($G13&lt;=2,$H13&gt;=2),"■■","")</f>
        <v/>
      </c>
      <c r="L13" s="51">
        <f>IF(AND($G13&lt;=3,$H13&gt;=3),"■■","")</f>
        <v/>
      </c>
      <c r="M13" s="51">
        <f>IF(AND($G13&lt;=4,$H13&gt;=4),"■■","")</f>
        <v/>
      </c>
      <c r="N13" s="51">
        <f>IF(AND($G13&lt;=5,$H13&gt;=5),"■■","")</f>
        <v/>
      </c>
      <c r="O13" s="51">
        <f>IF(AND($G13&lt;=6,$H13&gt;=6),"■■","")</f>
        <v/>
      </c>
      <c r="P13" s="51">
        <f>IF(AND($G13&lt;=7,$H13&gt;=7),"■■","")</f>
        <v/>
      </c>
      <c r="Q13" s="51">
        <f>IF(AND($G13&lt;=8,$H13&gt;=8),"■■","")</f>
        <v/>
      </c>
      <c r="R13" s="51">
        <f>IF(AND($G13&lt;=9,$H13&gt;=9),"■■","")</f>
        <v/>
      </c>
      <c r="S13" s="51">
        <f>IF(AND($G13&lt;=10,$H13&gt;=10),"■■","")</f>
        <v/>
      </c>
      <c r="T13" s="51">
        <f>IF(AND($G13&lt;=11,$H13&gt;=11),"■■","")</f>
        <v/>
      </c>
      <c r="U13" s="51">
        <f>IF(AND($G13&lt;=12,$H13&gt;=12),"■■","")</f>
        <v/>
      </c>
      <c r="V13" s="51">
        <f>IF(AND($G13&lt;=13,$H13&gt;=13),"■■","")</f>
        <v/>
      </c>
      <c r="W13" s="51">
        <f>IF(AND($G13&lt;=14,$H13&gt;=14),"■■","")</f>
        <v/>
      </c>
      <c r="X13" s="51">
        <f>IF(AND($G13&lt;=15,$H13&gt;=15),"■■","")</f>
        <v/>
      </c>
      <c r="Y13" s="51">
        <f>IF(AND($G13&lt;=16,$H13&gt;=16),"■■","")</f>
        <v/>
      </c>
      <c r="Z13" s="51">
        <f>IF(AND($G13&lt;=17,$H13&gt;=17),"■■","")</f>
        <v/>
      </c>
      <c r="AA13" s="51">
        <f>IF(AND($G13&lt;=18,$H13&gt;=18),"■■","")</f>
        <v/>
      </c>
      <c r="AB13" s="41" t="inlineStr">
        <is>
          <t>集群 Running，RRSA 可获取临时凭据；API Server 未暴露公网</t>
        </is>
      </c>
      <c r="AC13" s="41" t="inlineStr">
        <is>
          <t>未开始</t>
        </is>
      </c>
      <c r="AD13" s="51">
        <f>IF($H13&lt;$G13,0,$F13/($H13-$G13+1))</f>
        <v/>
      </c>
    </row>
    <row r="14">
      <c r="A14" s="74" t="inlineStr">
        <is>
          <t>D4</t>
        </is>
      </c>
      <c r="B14" s="74" t="n">
        <v>11</v>
      </c>
      <c r="C14" s="41" t="inlineStr">
        <is>
          <t>创建 ECS 节点池 4×g8i.2xlarge（跨 2 AZ、ESSD 300G、nofile 调优）</t>
        </is>
      </c>
      <c r="D14" s="74" t="inlineStr">
        <is>
          <t>人员A</t>
        </is>
      </c>
      <c r="E14" s="41" t="inlineStr">
        <is>
          <t>10</t>
        </is>
      </c>
      <c r="F14" s="51" t="n">
        <v>4</v>
      </c>
      <c r="G14" s="51" t="n">
        <v>7</v>
      </c>
      <c r="H14" s="51" t="n">
        <v>7</v>
      </c>
      <c r="I14" s="83">
        <f>说明与总览!$B$21+VALUE(MID($A14,2,1))-1</f>
        <v/>
      </c>
      <c r="J14" s="51">
        <f>IF(AND($G14&lt;=1,$H14&gt;=1),"■■","")</f>
        <v/>
      </c>
      <c r="K14" s="51">
        <f>IF(AND($G14&lt;=2,$H14&gt;=2),"■■","")</f>
        <v/>
      </c>
      <c r="L14" s="51">
        <f>IF(AND($G14&lt;=3,$H14&gt;=3),"■■","")</f>
        <v/>
      </c>
      <c r="M14" s="51">
        <f>IF(AND($G14&lt;=4,$H14&gt;=4),"■■","")</f>
        <v/>
      </c>
      <c r="N14" s="51">
        <f>IF(AND($G14&lt;=5,$H14&gt;=5),"■■","")</f>
        <v/>
      </c>
      <c r="O14" s="51">
        <f>IF(AND($G14&lt;=6,$H14&gt;=6),"■■","")</f>
        <v/>
      </c>
      <c r="P14" s="51">
        <f>IF(AND($G14&lt;=7,$H14&gt;=7),"■■","")</f>
        <v/>
      </c>
      <c r="Q14" s="51">
        <f>IF(AND($G14&lt;=8,$H14&gt;=8),"■■","")</f>
        <v/>
      </c>
      <c r="R14" s="51">
        <f>IF(AND($G14&lt;=9,$H14&gt;=9),"■■","")</f>
        <v/>
      </c>
      <c r="S14" s="51">
        <f>IF(AND($G14&lt;=10,$H14&gt;=10),"■■","")</f>
        <v/>
      </c>
      <c r="T14" s="51">
        <f>IF(AND($G14&lt;=11,$H14&gt;=11),"■■","")</f>
        <v/>
      </c>
      <c r="U14" s="51">
        <f>IF(AND($G14&lt;=12,$H14&gt;=12),"■■","")</f>
        <v/>
      </c>
      <c r="V14" s="51">
        <f>IF(AND($G14&lt;=13,$H14&gt;=13),"■■","")</f>
        <v/>
      </c>
      <c r="W14" s="51">
        <f>IF(AND($G14&lt;=14,$H14&gt;=14),"■■","")</f>
        <v/>
      </c>
      <c r="X14" s="51">
        <f>IF(AND($G14&lt;=15,$H14&gt;=15),"■■","")</f>
        <v/>
      </c>
      <c r="Y14" s="51">
        <f>IF(AND($G14&lt;=16,$H14&gt;=16),"■■","")</f>
        <v/>
      </c>
      <c r="Z14" s="51">
        <f>IF(AND($G14&lt;=17,$H14&gt;=17),"■■","")</f>
        <v/>
      </c>
      <c r="AA14" s="51">
        <f>IF(AND($G14&lt;=18,$H14&gt;=18),"■■","")</f>
        <v/>
      </c>
      <c r="AB14" s="41" t="inlineStr">
        <is>
          <t>节点 Ready 且跨 2 个可用区分布</t>
        </is>
      </c>
      <c r="AC14" s="41" t="inlineStr">
        <is>
          <t>未开始</t>
        </is>
      </c>
      <c r="AD14" s="51">
        <f>IF($H14&lt;$G14,0,$F14/($H14-$G14+1))</f>
        <v/>
      </c>
    </row>
    <row r="15">
      <c r="A15" s="74" t="inlineStr">
        <is>
          <t>D2</t>
        </is>
      </c>
      <c r="B15" s="74" t="n">
        <v>12</v>
      </c>
      <c r="C15" s="41" t="inlineStr">
        <is>
          <t>创建新加坡 VPC + vSwitch + NAT 网关 + EIP 池</t>
        </is>
      </c>
      <c r="D15" s="74" t="inlineStr">
        <is>
          <t>人员A</t>
        </is>
      </c>
      <c r="E15" s="41" t="inlineStr">
        <is>
          <t>5,6</t>
        </is>
      </c>
      <c r="F15" s="51" t="n">
        <v>2</v>
      </c>
      <c r="G15" s="51" t="n">
        <v>4</v>
      </c>
      <c r="H15" s="51" t="n">
        <v>4</v>
      </c>
      <c r="I15" s="83">
        <f>说明与总览!$B$21+VALUE(MID($A15,2,1))-1</f>
        <v/>
      </c>
      <c r="J15" s="51">
        <f>IF(AND($G15&lt;=1,$H15&gt;=1),"■■","")</f>
        <v/>
      </c>
      <c r="K15" s="51">
        <f>IF(AND($G15&lt;=2,$H15&gt;=2),"■■","")</f>
        <v/>
      </c>
      <c r="L15" s="51">
        <f>IF(AND($G15&lt;=3,$H15&gt;=3),"■■","")</f>
        <v/>
      </c>
      <c r="M15" s="51">
        <f>IF(AND($G15&lt;=4,$H15&gt;=4),"■■","")</f>
        <v/>
      </c>
      <c r="N15" s="51">
        <f>IF(AND($G15&lt;=5,$H15&gt;=5),"■■","")</f>
        <v/>
      </c>
      <c r="O15" s="51">
        <f>IF(AND($G15&lt;=6,$H15&gt;=6),"■■","")</f>
        <v/>
      </c>
      <c r="P15" s="51">
        <f>IF(AND($G15&lt;=7,$H15&gt;=7),"■■","")</f>
        <v/>
      </c>
      <c r="Q15" s="51">
        <f>IF(AND($G15&lt;=8,$H15&gt;=8),"■■","")</f>
        <v/>
      </c>
      <c r="R15" s="51">
        <f>IF(AND($G15&lt;=9,$H15&gt;=9),"■■","")</f>
        <v/>
      </c>
      <c r="S15" s="51">
        <f>IF(AND($G15&lt;=10,$H15&gt;=10),"■■","")</f>
        <v/>
      </c>
      <c r="T15" s="51">
        <f>IF(AND($G15&lt;=11,$H15&gt;=11),"■■","")</f>
        <v/>
      </c>
      <c r="U15" s="51">
        <f>IF(AND($G15&lt;=12,$H15&gt;=12),"■■","")</f>
        <v/>
      </c>
      <c r="V15" s="51">
        <f>IF(AND($G15&lt;=13,$H15&gt;=13),"■■","")</f>
        <v/>
      </c>
      <c r="W15" s="51">
        <f>IF(AND($G15&lt;=14,$H15&gt;=14),"■■","")</f>
        <v/>
      </c>
      <c r="X15" s="51">
        <f>IF(AND($G15&lt;=15,$H15&gt;=15),"■■","")</f>
        <v/>
      </c>
      <c r="Y15" s="51">
        <f>IF(AND($G15&lt;=16,$H15&gt;=16),"■■","")</f>
        <v/>
      </c>
      <c r="Z15" s="51">
        <f>IF(AND($G15&lt;=17,$H15&gt;=17),"■■","")</f>
        <v/>
      </c>
      <c r="AA15" s="51">
        <f>IF(AND($G15&lt;=18,$H15&gt;=18),"■■","")</f>
        <v/>
      </c>
      <c r="AB15" s="41" t="inlineStr">
        <is>
          <t>新加坡 EIP 固定可出网</t>
        </is>
      </c>
      <c r="AC15" s="41" t="inlineStr">
        <is>
          <t>未开始</t>
        </is>
      </c>
      <c r="AD15" s="51">
        <f>IF($H15&lt;$G15,0,$F15/($H15-$G15+1))</f>
        <v/>
      </c>
    </row>
    <row r="16">
      <c r="A16" s="74" t="inlineStr">
        <is>
          <t>D2</t>
        </is>
      </c>
      <c r="B16" s="74" t="n">
        <v>13</v>
      </c>
      <c r="C16" s="41" t="inlineStr">
        <is>
          <t>创建 RDS 账号 newapi / newapi_sg + 权限最小化</t>
        </is>
      </c>
      <c r="D16" s="74" t="inlineStr">
        <is>
          <t>人员B</t>
        </is>
      </c>
      <c r="E16" s="41" t="inlineStr">
        <is>
          <t>4</t>
        </is>
      </c>
      <c r="F16" s="51" t="n">
        <v>1</v>
      </c>
      <c r="G16" s="51" t="n">
        <v>3</v>
      </c>
      <c r="H16" s="51" t="n">
        <v>3</v>
      </c>
      <c r="I16" s="83">
        <f>说明与总览!$B$21+VALUE(MID($A16,2,1))-1</f>
        <v/>
      </c>
      <c r="J16" s="51">
        <f>IF(AND($G16&lt;=1,$H16&gt;=1),"■■","")</f>
        <v/>
      </c>
      <c r="K16" s="51">
        <f>IF(AND($G16&lt;=2,$H16&gt;=2),"■■","")</f>
        <v/>
      </c>
      <c r="L16" s="51">
        <f>IF(AND($G16&lt;=3,$H16&gt;=3),"■■","")</f>
        <v/>
      </c>
      <c r="M16" s="51">
        <f>IF(AND($G16&lt;=4,$H16&gt;=4),"■■","")</f>
        <v/>
      </c>
      <c r="N16" s="51">
        <f>IF(AND($G16&lt;=5,$H16&gt;=5),"■■","")</f>
        <v/>
      </c>
      <c r="O16" s="51">
        <f>IF(AND($G16&lt;=6,$H16&gt;=6),"■■","")</f>
        <v/>
      </c>
      <c r="P16" s="51">
        <f>IF(AND($G16&lt;=7,$H16&gt;=7),"■■","")</f>
        <v/>
      </c>
      <c r="Q16" s="51">
        <f>IF(AND($G16&lt;=8,$H16&gt;=8),"■■","")</f>
        <v/>
      </c>
      <c r="R16" s="51">
        <f>IF(AND($G16&lt;=9,$H16&gt;=9),"■■","")</f>
        <v/>
      </c>
      <c r="S16" s="51">
        <f>IF(AND($G16&lt;=10,$H16&gt;=10),"■■","")</f>
        <v/>
      </c>
      <c r="T16" s="51">
        <f>IF(AND($G16&lt;=11,$H16&gt;=11),"■■","")</f>
        <v/>
      </c>
      <c r="U16" s="51">
        <f>IF(AND($G16&lt;=12,$H16&gt;=12),"■■","")</f>
        <v/>
      </c>
      <c r="V16" s="51">
        <f>IF(AND($G16&lt;=13,$H16&gt;=13),"■■","")</f>
        <v/>
      </c>
      <c r="W16" s="51">
        <f>IF(AND($G16&lt;=14,$H16&gt;=14),"■■","")</f>
        <v/>
      </c>
      <c r="X16" s="51">
        <f>IF(AND($G16&lt;=15,$H16&gt;=15),"■■","")</f>
        <v/>
      </c>
      <c r="Y16" s="51">
        <f>IF(AND($G16&lt;=16,$H16&gt;=16),"■■","")</f>
        <v/>
      </c>
      <c r="Z16" s="51">
        <f>IF(AND($G16&lt;=17,$H16&gt;=17),"■■","")</f>
        <v/>
      </c>
      <c r="AA16" s="51">
        <f>IF(AND($G16&lt;=18,$H16&gt;=18),"■■","")</f>
        <v/>
      </c>
      <c r="AB16" s="41" t="inlineStr">
        <is>
          <t>两个账号权限边界验证通过</t>
        </is>
      </c>
      <c r="AC16" s="41" t="inlineStr">
        <is>
          <t>未开始</t>
        </is>
      </c>
      <c r="AD16" s="51">
        <f>IF($H16&lt;$G16,0,$F16/($H16-$G16+1))</f>
        <v/>
      </c>
    </row>
    <row r="17">
      <c r="A17" s="74" t="inlineStr">
        <is>
          <t>D2</t>
        </is>
      </c>
      <c r="B17" s="74" t="n">
        <v>14</v>
      </c>
      <c r="C17" s="41" t="inlineStr">
        <is>
          <t>配置 RDS 备份策略（PITR 7 天 + 全量/WAL 归档 OSS）</t>
        </is>
      </c>
      <c r="D17" s="74" t="inlineStr">
        <is>
          <t>人员B</t>
        </is>
      </c>
      <c r="E17" s="41" t="inlineStr">
        <is>
          <t>4,8</t>
        </is>
      </c>
      <c r="F17" s="51" t="n">
        <v>1</v>
      </c>
      <c r="G17" s="51" t="n">
        <v>3</v>
      </c>
      <c r="H17" s="51" t="n">
        <v>3</v>
      </c>
      <c r="I17" s="83">
        <f>说明与总览!$B$21+VALUE(MID($A17,2,1))-1</f>
        <v/>
      </c>
      <c r="J17" s="51">
        <f>IF(AND($G17&lt;=1,$H17&gt;=1),"■■","")</f>
        <v/>
      </c>
      <c r="K17" s="51">
        <f>IF(AND($G17&lt;=2,$H17&gt;=2),"■■","")</f>
        <v/>
      </c>
      <c r="L17" s="51">
        <f>IF(AND($G17&lt;=3,$H17&gt;=3),"■■","")</f>
        <v/>
      </c>
      <c r="M17" s="51">
        <f>IF(AND($G17&lt;=4,$H17&gt;=4),"■■","")</f>
        <v/>
      </c>
      <c r="N17" s="51">
        <f>IF(AND($G17&lt;=5,$H17&gt;=5),"■■","")</f>
        <v/>
      </c>
      <c r="O17" s="51">
        <f>IF(AND($G17&lt;=6,$H17&gt;=6),"■■","")</f>
        <v/>
      </c>
      <c r="P17" s="51">
        <f>IF(AND($G17&lt;=7,$H17&gt;=7),"■■","")</f>
        <v/>
      </c>
      <c r="Q17" s="51">
        <f>IF(AND($G17&lt;=8,$H17&gt;=8),"■■","")</f>
        <v/>
      </c>
      <c r="R17" s="51">
        <f>IF(AND($G17&lt;=9,$H17&gt;=9),"■■","")</f>
        <v/>
      </c>
      <c r="S17" s="51">
        <f>IF(AND($G17&lt;=10,$H17&gt;=10),"■■","")</f>
        <v/>
      </c>
      <c r="T17" s="51">
        <f>IF(AND($G17&lt;=11,$H17&gt;=11),"■■","")</f>
        <v/>
      </c>
      <c r="U17" s="51">
        <f>IF(AND($G17&lt;=12,$H17&gt;=12),"■■","")</f>
        <v/>
      </c>
      <c r="V17" s="51">
        <f>IF(AND($G17&lt;=13,$H17&gt;=13),"■■","")</f>
        <v/>
      </c>
      <c r="W17" s="51">
        <f>IF(AND($G17&lt;=14,$H17&gt;=14),"■■","")</f>
        <v/>
      </c>
      <c r="X17" s="51">
        <f>IF(AND($G17&lt;=15,$H17&gt;=15),"■■","")</f>
        <v/>
      </c>
      <c r="Y17" s="51">
        <f>IF(AND($G17&lt;=16,$H17&gt;=16),"■■","")</f>
        <v/>
      </c>
      <c r="Z17" s="51">
        <f>IF(AND($G17&lt;=17,$H17&gt;=17),"■■","")</f>
        <v/>
      </c>
      <c r="AA17" s="51">
        <f>IF(AND($G17&lt;=18,$H17&gt;=18),"■■","")</f>
        <v/>
      </c>
      <c r="AB17" s="41" t="inlineStr">
        <is>
          <t>备份任务成功且有可恢复时间点</t>
        </is>
      </c>
      <c r="AC17" s="41" t="inlineStr">
        <is>
          <t>未开始</t>
        </is>
      </c>
      <c r="AD17" s="51">
        <f>IF($H17&lt;$G17,0,$F17/($H17-$G17+1))</f>
        <v/>
      </c>
    </row>
    <row r="18">
      <c r="A18" s="74" t="inlineStr">
        <is>
          <t>D3</t>
        </is>
      </c>
      <c r="B18" s="74" t="n">
        <v>15</v>
      </c>
      <c r="C18" s="41" t="inlineStr">
        <is>
          <t>开启 RDS 公网地址并限制白名单（仅新加坡 NAT EIP）</t>
        </is>
      </c>
      <c r="D18" s="74" t="inlineStr">
        <is>
          <t>人员B</t>
        </is>
      </c>
      <c r="E18" s="41" t="inlineStr">
        <is>
          <t>4,12</t>
        </is>
      </c>
      <c r="F18" s="51" t="n">
        <v>1</v>
      </c>
      <c r="G18" s="51" t="n">
        <v>5</v>
      </c>
      <c r="H18" s="51" t="n">
        <v>5</v>
      </c>
      <c r="I18" s="83">
        <f>说明与总览!$B$21+VALUE(MID($A18,2,1))-1</f>
        <v/>
      </c>
      <c r="J18" s="51">
        <f>IF(AND($G18&lt;=1,$H18&gt;=1),"■■","")</f>
        <v/>
      </c>
      <c r="K18" s="51">
        <f>IF(AND($G18&lt;=2,$H18&gt;=2),"■■","")</f>
        <v/>
      </c>
      <c r="L18" s="51">
        <f>IF(AND($G18&lt;=3,$H18&gt;=3),"■■","")</f>
        <v/>
      </c>
      <c r="M18" s="51">
        <f>IF(AND($G18&lt;=4,$H18&gt;=4),"■■","")</f>
        <v/>
      </c>
      <c r="N18" s="51">
        <f>IF(AND($G18&lt;=5,$H18&gt;=5),"■■","")</f>
        <v/>
      </c>
      <c r="O18" s="51">
        <f>IF(AND($G18&lt;=6,$H18&gt;=6),"■■","")</f>
        <v/>
      </c>
      <c r="P18" s="51">
        <f>IF(AND($G18&lt;=7,$H18&gt;=7),"■■","")</f>
        <v/>
      </c>
      <c r="Q18" s="51">
        <f>IF(AND($G18&lt;=8,$H18&gt;=8),"■■","")</f>
        <v/>
      </c>
      <c r="R18" s="51">
        <f>IF(AND($G18&lt;=9,$H18&gt;=9),"■■","")</f>
        <v/>
      </c>
      <c r="S18" s="51">
        <f>IF(AND($G18&lt;=10,$H18&gt;=10),"■■","")</f>
        <v/>
      </c>
      <c r="T18" s="51">
        <f>IF(AND($G18&lt;=11,$H18&gt;=11),"■■","")</f>
        <v/>
      </c>
      <c r="U18" s="51">
        <f>IF(AND($G18&lt;=12,$H18&gt;=12),"■■","")</f>
        <v/>
      </c>
      <c r="V18" s="51">
        <f>IF(AND($G18&lt;=13,$H18&gt;=13),"■■","")</f>
        <v/>
      </c>
      <c r="W18" s="51">
        <f>IF(AND($G18&lt;=14,$H18&gt;=14),"■■","")</f>
        <v/>
      </c>
      <c r="X18" s="51">
        <f>IF(AND($G18&lt;=15,$H18&gt;=15),"■■","")</f>
        <v/>
      </c>
      <c r="Y18" s="51">
        <f>IF(AND($G18&lt;=16,$H18&gt;=16),"■■","")</f>
        <v/>
      </c>
      <c r="Z18" s="51">
        <f>IF(AND($G18&lt;=17,$H18&gt;=17),"■■","")</f>
        <v/>
      </c>
      <c r="AA18" s="51">
        <f>IF(AND($G18&lt;=18,$H18&gt;=18),"■■","")</f>
        <v/>
      </c>
      <c r="AB18" s="41" t="inlineStr">
        <is>
          <t>仅指定 EIP 可连通，强制 sslmode=verify-full</t>
        </is>
      </c>
      <c r="AC18" s="41" t="inlineStr">
        <is>
          <t>未开始</t>
        </is>
      </c>
      <c r="AD18" s="51">
        <f>IF($H18&lt;$G18,0,$F18/($H18-$G18+1))</f>
        <v/>
      </c>
    </row>
    <row r="19">
      <c r="A19" s="74" t="inlineStr">
        <is>
          <t>D1</t>
        </is>
      </c>
      <c r="B19" s="74" t="n">
        <v>16</v>
      </c>
      <c r="C19" s="41" t="inlineStr">
        <is>
          <t>创建双地域 ACR 企业版并打通 CI 镜像推送</t>
        </is>
      </c>
      <c r="D19" s="74" t="inlineStr">
        <is>
          <t>人员B</t>
        </is>
      </c>
      <c r="E19" s="41" t="inlineStr">
        <is>
          <t>G2</t>
        </is>
      </c>
      <c r="F19" s="51" t="n">
        <v>1</v>
      </c>
      <c r="G19" s="51" t="n">
        <v>1</v>
      </c>
      <c r="H19" s="51" t="n">
        <v>1</v>
      </c>
      <c r="I19" s="83">
        <f>说明与总览!$B$21+VALUE(MID($A19,2,1))-1</f>
        <v/>
      </c>
      <c r="J19" s="51">
        <f>IF(AND($G19&lt;=1,$H19&gt;=1),"■■","")</f>
        <v/>
      </c>
      <c r="K19" s="51">
        <f>IF(AND($G19&lt;=2,$H19&gt;=2),"■■","")</f>
        <v/>
      </c>
      <c r="L19" s="51">
        <f>IF(AND($G19&lt;=3,$H19&gt;=3),"■■","")</f>
        <v/>
      </c>
      <c r="M19" s="51">
        <f>IF(AND($G19&lt;=4,$H19&gt;=4),"■■","")</f>
        <v/>
      </c>
      <c r="N19" s="51">
        <f>IF(AND($G19&lt;=5,$H19&gt;=5),"■■","")</f>
        <v/>
      </c>
      <c r="O19" s="51">
        <f>IF(AND($G19&lt;=6,$H19&gt;=6),"■■","")</f>
        <v/>
      </c>
      <c r="P19" s="51">
        <f>IF(AND($G19&lt;=7,$H19&gt;=7),"■■","")</f>
        <v/>
      </c>
      <c r="Q19" s="51">
        <f>IF(AND($G19&lt;=8,$H19&gt;=8),"■■","")</f>
        <v/>
      </c>
      <c r="R19" s="51">
        <f>IF(AND($G19&lt;=9,$H19&gt;=9),"■■","")</f>
        <v/>
      </c>
      <c r="S19" s="51">
        <f>IF(AND($G19&lt;=10,$H19&gt;=10),"■■","")</f>
        <v/>
      </c>
      <c r="T19" s="51">
        <f>IF(AND($G19&lt;=11,$H19&gt;=11),"■■","")</f>
        <v/>
      </c>
      <c r="U19" s="51">
        <f>IF(AND($G19&lt;=12,$H19&gt;=12),"■■","")</f>
        <v/>
      </c>
      <c r="V19" s="51">
        <f>IF(AND($G19&lt;=13,$H19&gt;=13),"■■","")</f>
        <v/>
      </c>
      <c r="W19" s="51">
        <f>IF(AND($G19&lt;=14,$H19&gt;=14),"■■","")</f>
        <v/>
      </c>
      <c r="X19" s="51">
        <f>IF(AND($G19&lt;=15,$H19&gt;=15),"■■","")</f>
        <v/>
      </c>
      <c r="Y19" s="51">
        <f>IF(AND($G19&lt;=16,$H19&gt;=16),"■■","")</f>
        <v/>
      </c>
      <c r="Z19" s="51">
        <f>IF(AND($G19&lt;=17,$H19&gt;=17),"■■","")</f>
        <v/>
      </c>
      <c r="AA19" s="51">
        <f>IF(AND($G19&lt;=18,$H19&gt;=18),"■■","")</f>
        <v/>
      </c>
      <c r="AB19" s="41" t="inlineStr">
        <is>
          <t>两站点均可从各自 VPC 域名拉取镜像</t>
        </is>
      </c>
      <c r="AC19" s="41" t="inlineStr">
        <is>
          <t>未开始</t>
        </is>
      </c>
      <c r="AD19" s="51">
        <f>IF($H19&lt;$G19,0,$F19/($H19-$G19+1))</f>
        <v/>
      </c>
    </row>
    <row r="20">
      <c r="A20" s="74" t="inlineStr">
        <is>
          <t>D3</t>
        </is>
      </c>
      <c r="B20" s="74" t="n">
        <v>17</v>
      </c>
      <c r="C20" s="41" t="inlineStr">
        <is>
          <t>部署 Namespace / ConfigMap / Secret（KMS + RRSA + ExternalSecret）</t>
        </is>
      </c>
      <c r="D20" s="74" t="inlineStr">
        <is>
          <t>人员B</t>
        </is>
      </c>
      <c r="E20" s="41" t="inlineStr">
        <is>
          <t>10</t>
        </is>
      </c>
      <c r="F20" s="51" t="n">
        <v>2</v>
      </c>
      <c r="G20" s="51" t="n">
        <v>6</v>
      </c>
      <c r="H20" s="51" t="n">
        <v>6</v>
      </c>
      <c r="I20" s="83">
        <f>说明与总览!$B$21+VALUE(MID($A20,2,1))-1</f>
        <v/>
      </c>
      <c r="J20" s="51">
        <f>IF(AND($G20&lt;=1,$H20&gt;=1),"■■","")</f>
        <v/>
      </c>
      <c r="K20" s="51">
        <f>IF(AND($G20&lt;=2,$H20&gt;=2),"■■","")</f>
        <v/>
      </c>
      <c r="L20" s="51">
        <f>IF(AND($G20&lt;=3,$H20&gt;=3),"■■","")</f>
        <v/>
      </c>
      <c r="M20" s="51">
        <f>IF(AND($G20&lt;=4,$H20&gt;=4),"■■","")</f>
        <v/>
      </c>
      <c r="N20" s="51">
        <f>IF(AND($G20&lt;=5,$H20&gt;=5),"■■","")</f>
        <v/>
      </c>
      <c r="O20" s="51">
        <f>IF(AND($G20&lt;=6,$H20&gt;=6),"■■","")</f>
        <v/>
      </c>
      <c r="P20" s="51">
        <f>IF(AND($G20&lt;=7,$H20&gt;=7),"■■","")</f>
        <v/>
      </c>
      <c r="Q20" s="51">
        <f>IF(AND($G20&lt;=8,$H20&gt;=8),"■■","")</f>
        <v/>
      </c>
      <c r="R20" s="51">
        <f>IF(AND($G20&lt;=9,$H20&gt;=9),"■■","")</f>
        <v/>
      </c>
      <c r="S20" s="51">
        <f>IF(AND($G20&lt;=10,$H20&gt;=10),"■■","")</f>
        <v/>
      </c>
      <c r="T20" s="51">
        <f>IF(AND($G20&lt;=11,$H20&gt;=11),"■■","")</f>
        <v/>
      </c>
      <c r="U20" s="51">
        <f>IF(AND($G20&lt;=12,$H20&gt;=12),"■■","")</f>
        <v/>
      </c>
      <c r="V20" s="51">
        <f>IF(AND($G20&lt;=13,$H20&gt;=13),"■■","")</f>
        <v/>
      </c>
      <c r="W20" s="51">
        <f>IF(AND($G20&lt;=14,$H20&gt;=14),"■■","")</f>
        <v/>
      </c>
      <c r="X20" s="51">
        <f>IF(AND($G20&lt;=15,$H20&gt;=15),"■■","")</f>
        <v/>
      </c>
      <c r="Y20" s="51">
        <f>IF(AND($G20&lt;=16,$H20&gt;=16),"■■","")</f>
        <v/>
      </c>
      <c r="Z20" s="51">
        <f>IF(AND($G20&lt;=17,$H20&gt;=17),"■■","")</f>
        <v/>
      </c>
      <c r="AA20" s="51">
        <f>IF(AND($G20&lt;=18,$H20&gt;=18),"■■","")</f>
        <v/>
      </c>
      <c r="AB20" s="41" t="inlineStr">
        <is>
          <t>密钥不落 Git，注入后应用可正常启动</t>
        </is>
      </c>
      <c r="AC20" s="41" t="inlineStr">
        <is>
          <t>未开始</t>
        </is>
      </c>
      <c r="AD20" s="51">
        <f>IF($H20&lt;$G20,0,$F20/($H20-$G20+1))</f>
        <v/>
      </c>
    </row>
    <row r="21">
      <c r="A21" s="74" t="inlineStr">
        <is>
          <t>D4</t>
        </is>
      </c>
      <c r="B21" s="74" t="n">
        <v>18</v>
      </c>
      <c r="C21" s="41" t="inlineStr">
        <is>
          <t>部署 master Deployment 并跑通 AutoMigrate（连续两次验幂等）</t>
        </is>
      </c>
      <c r="D21" s="74" t="inlineStr">
        <is>
          <t>人员B</t>
        </is>
      </c>
      <c r="E21" s="41" t="inlineStr">
        <is>
          <t>11,17</t>
        </is>
      </c>
      <c r="F21" s="51" t="n">
        <v>2</v>
      </c>
      <c r="G21" s="51" t="n">
        <v>8</v>
      </c>
      <c r="H21" s="51" t="n">
        <v>8</v>
      </c>
      <c r="I21" s="83">
        <f>说明与总览!$B$21+VALUE(MID($A21,2,1))-1</f>
        <v/>
      </c>
      <c r="J21" s="51">
        <f>IF(AND($G21&lt;=1,$H21&gt;=1),"■■","")</f>
        <v/>
      </c>
      <c r="K21" s="51">
        <f>IF(AND($G21&lt;=2,$H21&gt;=2),"■■","")</f>
        <v/>
      </c>
      <c r="L21" s="51">
        <f>IF(AND($G21&lt;=3,$H21&gt;=3),"■■","")</f>
        <v/>
      </c>
      <c r="M21" s="51">
        <f>IF(AND($G21&lt;=4,$H21&gt;=4),"■■","")</f>
        <v/>
      </c>
      <c r="N21" s="51">
        <f>IF(AND($G21&lt;=5,$H21&gt;=5),"■■","")</f>
        <v/>
      </c>
      <c r="O21" s="51">
        <f>IF(AND($G21&lt;=6,$H21&gt;=6),"■■","")</f>
        <v/>
      </c>
      <c r="P21" s="51">
        <f>IF(AND($G21&lt;=7,$H21&gt;=7),"■■","")</f>
        <v/>
      </c>
      <c r="Q21" s="51">
        <f>IF(AND($G21&lt;=8,$H21&gt;=8),"■■","")</f>
        <v/>
      </c>
      <c r="R21" s="51">
        <f>IF(AND($G21&lt;=9,$H21&gt;=9),"■■","")</f>
        <v/>
      </c>
      <c r="S21" s="51">
        <f>IF(AND($G21&lt;=10,$H21&gt;=10),"■■","")</f>
        <v/>
      </c>
      <c r="T21" s="51">
        <f>IF(AND($G21&lt;=11,$H21&gt;=11),"■■","")</f>
        <v/>
      </c>
      <c r="U21" s="51">
        <f>IF(AND($G21&lt;=12,$H21&gt;=12),"■■","")</f>
        <v/>
      </c>
      <c r="V21" s="51">
        <f>IF(AND($G21&lt;=13,$H21&gt;=13),"■■","")</f>
        <v/>
      </c>
      <c r="W21" s="51">
        <f>IF(AND($G21&lt;=14,$H21&gt;=14),"■■","")</f>
        <v/>
      </c>
      <c r="X21" s="51">
        <f>IF(AND($G21&lt;=15,$H21&gt;=15),"■■","")</f>
        <v/>
      </c>
      <c r="Y21" s="51">
        <f>IF(AND($G21&lt;=16,$H21&gt;=16),"■■","")</f>
        <v/>
      </c>
      <c r="Z21" s="51">
        <f>IF(AND($G21&lt;=17,$H21&gt;=17),"■■","")</f>
        <v/>
      </c>
      <c r="AA21" s="51">
        <f>IF(AND($G21&lt;=18,$H21&gt;=18),"■■","")</f>
        <v/>
      </c>
      <c r="AB21" s="41" t="inlineStr">
        <is>
          <t>迁移两次结果幂等，无重复 ALTER</t>
        </is>
      </c>
      <c r="AC21" s="41" t="inlineStr">
        <is>
          <t>未开始</t>
        </is>
      </c>
      <c r="AD21" s="51">
        <f>IF($H21&lt;$G21,0,$F21/($H21-$G21+1))</f>
        <v/>
      </c>
    </row>
    <row r="22">
      <c r="A22" s="74" t="inlineStr">
        <is>
          <t>D3</t>
        </is>
      </c>
      <c r="B22" s="74" t="n">
        <v>19</v>
      </c>
      <c r="C22" s="41" t="inlineStr">
        <is>
          <t>创建马尼拉 ALB + AlbConfig + 健康检查</t>
        </is>
      </c>
      <c r="D22" s="74" t="inlineStr">
        <is>
          <t>人员A</t>
        </is>
      </c>
      <c r="E22" s="41" t="inlineStr">
        <is>
          <t>5,6</t>
        </is>
      </c>
      <c r="F22" s="51" t="n">
        <v>3</v>
      </c>
      <c r="G22" s="51" t="n">
        <v>5</v>
      </c>
      <c r="H22" s="51" t="n">
        <v>5</v>
      </c>
      <c r="I22" s="83">
        <f>说明与总览!$B$21+VALUE(MID($A22,2,1))-1</f>
        <v/>
      </c>
      <c r="J22" s="51">
        <f>IF(AND($G22&lt;=1,$H22&gt;=1),"■■","")</f>
        <v/>
      </c>
      <c r="K22" s="51">
        <f>IF(AND($G22&lt;=2,$H22&gt;=2),"■■","")</f>
        <v/>
      </c>
      <c r="L22" s="51">
        <f>IF(AND($G22&lt;=3,$H22&gt;=3),"■■","")</f>
        <v/>
      </c>
      <c r="M22" s="51">
        <f>IF(AND($G22&lt;=4,$H22&gt;=4),"■■","")</f>
        <v/>
      </c>
      <c r="N22" s="51">
        <f>IF(AND($G22&lt;=5,$H22&gt;=5),"■■","")</f>
        <v/>
      </c>
      <c r="O22" s="51">
        <f>IF(AND($G22&lt;=6,$H22&gt;=6),"■■","")</f>
        <v/>
      </c>
      <c r="P22" s="51">
        <f>IF(AND($G22&lt;=7,$H22&gt;=7),"■■","")</f>
        <v/>
      </c>
      <c r="Q22" s="51">
        <f>IF(AND($G22&lt;=8,$H22&gt;=8),"■■","")</f>
        <v/>
      </c>
      <c r="R22" s="51">
        <f>IF(AND($G22&lt;=9,$H22&gt;=9),"■■","")</f>
        <v/>
      </c>
      <c r="S22" s="51">
        <f>IF(AND($G22&lt;=10,$H22&gt;=10),"■■","")</f>
        <v/>
      </c>
      <c r="T22" s="51">
        <f>IF(AND($G22&lt;=11,$H22&gt;=11),"■■","")</f>
        <v/>
      </c>
      <c r="U22" s="51">
        <f>IF(AND($G22&lt;=12,$H22&gt;=12),"■■","")</f>
        <v/>
      </c>
      <c r="V22" s="51">
        <f>IF(AND($G22&lt;=13,$H22&gt;=13),"■■","")</f>
        <v/>
      </c>
      <c r="W22" s="51">
        <f>IF(AND($G22&lt;=14,$H22&gt;=14),"■■","")</f>
        <v/>
      </c>
      <c r="X22" s="51">
        <f>IF(AND($G22&lt;=15,$H22&gt;=15),"■■","")</f>
        <v/>
      </c>
      <c r="Y22" s="51">
        <f>IF(AND($G22&lt;=16,$H22&gt;=16),"■■","")</f>
        <v/>
      </c>
      <c r="Z22" s="51">
        <f>IF(AND($G22&lt;=17,$H22&gt;=17),"■■","")</f>
        <v/>
      </c>
      <c r="AA22" s="51">
        <f>IF(AND($G22&lt;=18,$H22&gt;=18),"■■","")</f>
        <v/>
      </c>
      <c r="AB22" s="41" t="inlineStr">
        <is>
          <t>ALB 可访问 /api/status，超时参数符合 7.4.3</t>
        </is>
      </c>
      <c r="AC22" s="41" t="inlineStr">
        <is>
          <t>未开始</t>
        </is>
      </c>
      <c r="AD22" s="51">
        <f>IF($H22&lt;$G22,0,$F22/($H22-$G22+1))</f>
        <v/>
      </c>
    </row>
    <row r="23">
      <c r="A23" s="74" t="inlineStr">
        <is>
          <t>D5</t>
        </is>
      </c>
      <c r="B23" s="74" t="n">
        <v>20</v>
      </c>
      <c r="C23" s="41" t="inlineStr">
        <is>
          <t>WAF 3.0 接入 + CC 策略 + 回调源 IP 白名单</t>
        </is>
      </c>
      <c r="D23" s="74" t="inlineStr">
        <is>
          <t>人员A</t>
        </is>
      </c>
      <c r="E23" s="41" t="inlineStr">
        <is>
          <t>19</t>
        </is>
      </c>
      <c r="F23" s="51" t="n">
        <v>1</v>
      </c>
      <c r="G23" s="51" t="n">
        <v>9</v>
      </c>
      <c r="H23" s="51" t="n">
        <v>9</v>
      </c>
      <c r="I23" s="83">
        <f>说明与总览!$B$21+VALUE(MID($A23,2,1))-1</f>
        <v/>
      </c>
      <c r="J23" s="51">
        <f>IF(AND($G23&lt;=1,$H23&gt;=1),"■■","")</f>
        <v/>
      </c>
      <c r="K23" s="51">
        <f>IF(AND($G23&lt;=2,$H23&gt;=2),"■■","")</f>
        <v/>
      </c>
      <c r="L23" s="51">
        <f>IF(AND($G23&lt;=3,$H23&gt;=3),"■■","")</f>
        <v/>
      </c>
      <c r="M23" s="51">
        <f>IF(AND($G23&lt;=4,$H23&gt;=4),"■■","")</f>
        <v/>
      </c>
      <c r="N23" s="51">
        <f>IF(AND($G23&lt;=5,$H23&gt;=5),"■■","")</f>
        <v/>
      </c>
      <c r="O23" s="51">
        <f>IF(AND($G23&lt;=6,$H23&gt;=6),"■■","")</f>
        <v/>
      </c>
      <c r="P23" s="51">
        <f>IF(AND($G23&lt;=7,$H23&gt;=7),"■■","")</f>
        <v/>
      </c>
      <c r="Q23" s="51">
        <f>IF(AND($G23&lt;=8,$H23&gt;=8),"■■","")</f>
        <v/>
      </c>
      <c r="R23" s="51">
        <f>IF(AND($G23&lt;=9,$H23&gt;=9),"■■","")</f>
        <v/>
      </c>
      <c r="S23" s="51">
        <f>IF(AND($G23&lt;=10,$H23&gt;=10),"■■","")</f>
        <v/>
      </c>
      <c r="T23" s="51">
        <f>IF(AND($G23&lt;=11,$H23&gt;=11),"■■","")</f>
        <v/>
      </c>
      <c r="U23" s="51">
        <f>IF(AND($G23&lt;=12,$H23&gt;=12),"■■","")</f>
        <v/>
      </c>
      <c r="V23" s="51">
        <f>IF(AND($G23&lt;=13,$H23&gt;=13),"■■","")</f>
        <v/>
      </c>
      <c r="W23" s="51">
        <f>IF(AND($G23&lt;=14,$H23&gt;=14),"■■","")</f>
        <v/>
      </c>
      <c r="X23" s="51">
        <f>IF(AND($G23&lt;=15,$H23&gt;=15),"■■","")</f>
        <v/>
      </c>
      <c r="Y23" s="51">
        <f>IF(AND($G23&lt;=16,$H23&gt;=16),"■■","")</f>
        <v/>
      </c>
      <c r="Z23" s="51">
        <f>IF(AND($G23&lt;=17,$H23&gt;=17),"■■","")</f>
        <v/>
      </c>
      <c r="AA23" s="51">
        <f>IF(AND($G23&lt;=18,$H23&gt;=18),"■■","")</f>
        <v/>
      </c>
      <c r="AB23" s="41" t="inlineStr">
        <is>
          <t>攻击场景被拦截；回调路径放行且源 IP 受限</t>
        </is>
      </c>
      <c r="AC23" s="41" t="inlineStr">
        <is>
          <t>未开始</t>
        </is>
      </c>
      <c r="AD23" s="51">
        <f>IF($H23&lt;$G23,0,$F23/($H23-$G23+1))</f>
        <v/>
      </c>
    </row>
    <row r="24">
      <c r="A24" s="74" t="inlineStr">
        <is>
          <t>D5</t>
        </is>
      </c>
      <c r="B24" s="74" t="n">
        <v>21</v>
      </c>
      <c r="C24" s="41" t="inlineStr">
        <is>
          <t>GTM 实例 + 地址池 + 健康探测（先只挂马尼拉）</t>
        </is>
      </c>
      <c r="D24" s="74" t="inlineStr">
        <is>
          <t>人员A</t>
        </is>
      </c>
      <c r="E24" s="41" t="inlineStr">
        <is>
          <t>19</t>
        </is>
      </c>
      <c r="F24" s="51" t="n">
        <v>2</v>
      </c>
      <c r="G24" s="51" t="n">
        <v>10</v>
      </c>
      <c r="H24" s="51" t="n">
        <v>10</v>
      </c>
      <c r="I24" s="83">
        <f>说明与总览!$B$21+VALUE(MID($A24,2,1))-1</f>
        <v/>
      </c>
      <c r="J24" s="51">
        <f>IF(AND($G24&lt;=1,$H24&gt;=1),"■■","")</f>
        <v/>
      </c>
      <c r="K24" s="51">
        <f>IF(AND($G24&lt;=2,$H24&gt;=2),"■■","")</f>
        <v/>
      </c>
      <c r="L24" s="51">
        <f>IF(AND($G24&lt;=3,$H24&gt;=3),"■■","")</f>
        <v/>
      </c>
      <c r="M24" s="51">
        <f>IF(AND($G24&lt;=4,$H24&gt;=4),"■■","")</f>
        <v/>
      </c>
      <c r="N24" s="51">
        <f>IF(AND($G24&lt;=5,$H24&gt;=5),"■■","")</f>
        <v/>
      </c>
      <c r="O24" s="51">
        <f>IF(AND($G24&lt;=6,$H24&gt;=6),"■■","")</f>
        <v/>
      </c>
      <c r="P24" s="51">
        <f>IF(AND($G24&lt;=7,$H24&gt;=7),"■■","")</f>
        <v/>
      </c>
      <c r="Q24" s="51">
        <f>IF(AND($G24&lt;=8,$H24&gt;=8),"■■","")</f>
        <v/>
      </c>
      <c r="R24" s="51">
        <f>IF(AND($G24&lt;=9,$H24&gt;=9),"■■","")</f>
        <v/>
      </c>
      <c r="S24" s="51">
        <f>IF(AND($G24&lt;=10,$H24&gt;=10),"■■","")</f>
        <v/>
      </c>
      <c r="T24" s="51">
        <f>IF(AND($G24&lt;=11,$H24&gt;=11),"■■","")</f>
        <v/>
      </c>
      <c r="U24" s="51">
        <f>IF(AND($G24&lt;=12,$H24&gt;=12),"■■","")</f>
        <v/>
      </c>
      <c r="V24" s="51">
        <f>IF(AND($G24&lt;=13,$H24&gt;=13),"■■","")</f>
        <v/>
      </c>
      <c r="W24" s="51">
        <f>IF(AND($G24&lt;=14,$H24&gt;=14),"■■","")</f>
        <v/>
      </c>
      <c r="X24" s="51">
        <f>IF(AND($G24&lt;=15,$H24&gt;=15),"■■","")</f>
        <v/>
      </c>
      <c r="Y24" s="51">
        <f>IF(AND($G24&lt;=16,$H24&gt;=16),"■■","")</f>
        <v/>
      </c>
      <c r="Z24" s="51">
        <f>IF(AND($G24&lt;=17,$H24&gt;=17),"■■","")</f>
        <v/>
      </c>
      <c r="AA24" s="51">
        <f>IF(AND($G24&lt;=18,$H24&gt;=18),"■■","")</f>
        <v/>
      </c>
      <c r="AB24" s="41" t="inlineStr">
        <is>
          <t>探测正常且手工切换演练通过</t>
        </is>
      </c>
      <c r="AC24" s="41" t="inlineStr">
        <is>
          <t>未开始</t>
        </is>
      </c>
      <c r="AD24" s="51">
        <f>IF($H24&lt;$G24,0,$F24/($H24-$G24+1))</f>
        <v/>
      </c>
    </row>
    <row r="25">
      <c r="A25" s="74" t="inlineStr">
        <is>
          <t>D5</t>
        </is>
      </c>
      <c r="B25" s="74" t="n">
        <v>22</v>
      </c>
      <c r="C25" s="41" t="inlineStr">
        <is>
          <t>落地全部安全组与数据库白名单规则并逐条核对</t>
        </is>
      </c>
      <c r="D25" s="74" t="inlineStr">
        <is>
          <t>人员A</t>
        </is>
      </c>
      <c r="E25" s="41" t="inlineStr">
        <is>
          <t>6,11,19</t>
        </is>
      </c>
      <c r="F25" s="51" t="n">
        <v>2</v>
      </c>
      <c r="G25" s="51" t="n">
        <v>10</v>
      </c>
      <c r="H25" s="51" t="n">
        <v>10</v>
      </c>
      <c r="I25" s="83">
        <f>说明与总览!$B$21+VALUE(MID($A25,2,1))-1</f>
        <v/>
      </c>
      <c r="J25" s="51">
        <f>IF(AND($G25&lt;=1,$H25&gt;=1),"■■","")</f>
        <v/>
      </c>
      <c r="K25" s="51">
        <f>IF(AND($G25&lt;=2,$H25&gt;=2),"■■","")</f>
        <v/>
      </c>
      <c r="L25" s="51">
        <f>IF(AND($G25&lt;=3,$H25&gt;=3),"■■","")</f>
        <v/>
      </c>
      <c r="M25" s="51">
        <f>IF(AND($G25&lt;=4,$H25&gt;=4),"■■","")</f>
        <v/>
      </c>
      <c r="N25" s="51">
        <f>IF(AND($G25&lt;=5,$H25&gt;=5),"■■","")</f>
        <v/>
      </c>
      <c r="O25" s="51">
        <f>IF(AND($G25&lt;=6,$H25&gt;=6),"■■","")</f>
        <v/>
      </c>
      <c r="P25" s="51">
        <f>IF(AND($G25&lt;=7,$H25&gt;=7),"■■","")</f>
        <v/>
      </c>
      <c r="Q25" s="51">
        <f>IF(AND($G25&lt;=8,$H25&gt;=8),"■■","")</f>
        <v/>
      </c>
      <c r="R25" s="51">
        <f>IF(AND($G25&lt;=9,$H25&gt;=9),"■■","")</f>
        <v/>
      </c>
      <c r="S25" s="51">
        <f>IF(AND($G25&lt;=10,$H25&gt;=10),"■■","")</f>
        <v/>
      </c>
      <c r="T25" s="51">
        <f>IF(AND($G25&lt;=11,$H25&gt;=11),"■■","")</f>
        <v/>
      </c>
      <c r="U25" s="51">
        <f>IF(AND($G25&lt;=12,$H25&gt;=12),"■■","")</f>
        <v/>
      </c>
      <c r="V25" s="51">
        <f>IF(AND($G25&lt;=13,$H25&gt;=13),"■■","")</f>
        <v/>
      </c>
      <c r="W25" s="51">
        <f>IF(AND($G25&lt;=14,$H25&gt;=14),"■■","")</f>
        <v/>
      </c>
      <c r="X25" s="51">
        <f>IF(AND($G25&lt;=15,$H25&gt;=15),"■■","")</f>
        <v/>
      </c>
      <c r="Y25" s="51">
        <f>IF(AND($G25&lt;=16,$H25&gt;=16),"■■","")</f>
        <v/>
      </c>
      <c r="Z25" s="51">
        <f>IF(AND($G25&lt;=17,$H25&gt;=17),"■■","")</f>
        <v/>
      </c>
      <c r="AA25" s="51">
        <f>IF(AND($G25&lt;=18,$H25&gt;=18),"■■","")</f>
        <v/>
      </c>
      <c r="AB25" s="41" t="inlineStr">
        <is>
          <t>端口最小化核对通过，无 0.0.0.0/0 入向规则</t>
        </is>
      </c>
      <c r="AC25" s="41" t="inlineStr">
        <is>
          <t>未开始</t>
        </is>
      </c>
      <c r="AD25" s="51">
        <f>IF($H25&lt;$G25,0,$F25/($H25-$G25+1))</f>
        <v/>
      </c>
    </row>
    <row r="26">
      <c r="A26" s="74" t="inlineStr">
        <is>
          <t>D5</t>
        </is>
      </c>
      <c r="B26" s="74" t="n">
        <v>23</v>
      </c>
      <c r="C26" s="41" t="inlineStr">
        <is>
          <t>部署 stable Deployment（4 副本）+ PDB/HPA + Pod 反亲和</t>
        </is>
      </c>
      <c r="D26" s="74" t="inlineStr">
        <is>
          <t>人员B</t>
        </is>
      </c>
      <c r="E26" s="41" t="inlineStr">
        <is>
          <t>18</t>
        </is>
      </c>
      <c r="F26" s="51" t="n">
        <v>8</v>
      </c>
      <c r="G26" s="51" t="n">
        <v>9</v>
      </c>
      <c r="H26" s="51" t="n">
        <v>10</v>
      </c>
      <c r="I26" s="83">
        <f>说明与总览!$B$21+VALUE(MID($A26,2,1))-1</f>
        <v/>
      </c>
      <c r="J26" s="51">
        <f>IF(AND($G26&lt;=1,$H26&gt;=1),"■■","")</f>
        <v/>
      </c>
      <c r="K26" s="51">
        <f>IF(AND($G26&lt;=2,$H26&gt;=2),"■■","")</f>
        <v/>
      </c>
      <c r="L26" s="51">
        <f>IF(AND($G26&lt;=3,$H26&gt;=3),"■■","")</f>
        <v/>
      </c>
      <c r="M26" s="51">
        <f>IF(AND($G26&lt;=4,$H26&gt;=4),"■■","")</f>
        <v/>
      </c>
      <c r="N26" s="51">
        <f>IF(AND($G26&lt;=5,$H26&gt;=5),"■■","")</f>
        <v/>
      </c>
      <c r="O26" s="51">
        <f>IF(AND($G26&lt;=6,$H26&gt;=6),"■■","")</f>
        <v/>
      </c>
      <c r="P26" s="51">
        <f>IF(AND($G26&lt;=7,$H26&gt;=7),"■■","")</f>
        <v/>
      </c>
      <c r="Q26" s="51">
        <f>IF(AND($G26&lt;=8,$H26&gt;=8),"■■","")</f>
        <v/>
      </c>
      <c r="R26" s="51">
        <f>IF(AND($G26&lt;=9,$H26&gt;=9),"■■","")</f>
        <v/>
      </c>
      <c r="S26" s="51">
        <f>IF(AND($G26&lt;=10,$H26&gt;=10),"■■","")</f>
        <v/>
      </c>
      <c r="T26" s="51">
        <f>IF(AND($G26&lt;=11,$H26&gt;=11),"■■","")</f>
        <v/>
      </c>
      <c r="U26" s="51">
        <f>IF(AND($G26&lt;=12,$H26&gt;=12),"■■","")</f>
        <v/>
      </c>
      <c r="V26" s="51">
        <f>IF(AND($G26&lt;=13,$H26&gt;=13),"■■","")</f>
        <v/>
      </c>
      <c r="W26" s="51">
        <f>IF(AND($G26&lt;=14,$H26&gt;=14),"■■","")</f>
        <v/>
      </c>
      <c r="X26" s="51">
        <f>IF(AND($G26&lt;=15,$H26&gt;=15),"■■","")</f>
        <v/>
      </c>
      <c r="Y26" s="51">
        <f>IF(AND($G26&lt;=16,$H26&gt;=16),"■■","")</f>
        <v/>
      </c>
      <c r="Z26" s="51">
        <f>IF(AND($G26&lt;=17,$H26&gt;=17),"■■","")</f>
        <v/>
      </c>
      <c r="AA26" s="51">
        <f>IF(AND($G26&lt;=18,$H26&gt;=18),"■■","")</f>
        <v/>
      </c>
      <c r="AB26" s="41" t="inlineStr">
        <is>
          <t>Pod 跨 AZ 分布、maxUnavailable=0 生效</t>
        </is>
      </c>
      <c r="AC26" s="41" t="inlineStr">
        <is>
          <t>未开始</t>
        </is>
      </c>
      <c r="AD26" s="51">
        <f>IF($H26&lt;$G26,0,$F26/($H26-$G26+1))</f>
        <v/>
      </c>
    </row>
    <row r="27">
      <c r="A27" s="74" t="inlineStr">
        <is>
          <t>D3</t>
        </is>
      </c>
      <c r="B27" s="74" t="n">
        <v>24</v>
      </c>
      <c r="C27" s="41" t="inlineStr">
        <is>
          <t>创建新加坡 ACK 集群 + 节点池（常态 2 节点）</t>
        </is>
      </c>
      <c r="D27" s="74" t="inlineStr">
        <is>
          <t>人员A</t>
        </is>
      </c>
      <c r="E27" s="41" t="inlineStr">
        <is>
          <t>12</t>
        </is>
      </c>
      <c r="F27" s="51" t="n">
        <v>4</v>
      </c>
      <c r="G27" s="51" t="n">
        <v>6</v>
      </c>
      <c r="H27" s="51" t="n">
        <v>6</v>
      </c>
      <c r="I27" s="83">
        <f>说明与总览!$B$21+VALUE(MID($A27,2,1))-1</f>
        <v/>
      </c>
      <c r="J27" s="51">
        <f>IF(AND($G27&lt;=1,$H27&gt;=1),"■■","")</f>
        <v/>
      </c>
      <c r="K27" s="51">
        <f>IF(AND($G27&lt;=2,$H27&gt;=2),"■■","")</f>
        <v/>
      </c>
      <c r="L27" s="51">
        <f>IF(AND($G27&lt;=3,$H27&gt;=3),"■■","")</f>
        <v/>
      </c>
      <c r="M27" s="51">
        <f>IF(AND($G27&lt;=4,$H27&gt;=4),"■■","")</f>
        <v/>
      </c>
      <c r="N27" s="51">
        <f>IF(AND($G27&lt;=5,$H27&gt;=5),"■■","")</f>
        <v/>
      </c>
      <c r="O27" s="51">
        <f>IF(AND($G27&lt;=6,$H27&gt;=6),"■■","")</f>
        <v/>
      </c>
      <c r="P27" s="51">
        <f>IF(AND($G27&lt;=7,$H27&gt;=7),"■■","")</f>
        <v/>
      </c>
      <c r="Q27" s="51">
        <f>IF(AND($G27&lt;=8,$H27&gt;=8),"■■","")</f>
        <v/>
      </c>
      <c r="R27" s="51">
        <f>IF(AND($G27&lt;=9,$H27&gt;=9),"■■","")</f>
        <v/>
      </c>
      <c r="S27" s="51">
        <f>IF(AND($G27&lt;=10,$H27&gt;=10),"■■","")</f>
        <v/>
      </c>
      <c r="T27" s="51">
        <f>IF(AND($G27&lt;=11,$H27&gt;=11),"■■","")</f>
        <v/>
      </c>
      <c r="U27" s="51">
        <f>IF(AND($G27&lt;=12,$H27&gt;=12),"■■","")</f>
        <v/>
      </c>
      <c r="V27" s="51">
        <f>IF(AND($G27&lt;=13,$H27&gt;=13),"■■","")</f>
        <v/>
      </c>
      <c r="W27" s="51">
        <f>IF(AND($G27&lt;=14,$H27&gt;=14),"■■","")</f>
        <v/>
      </c>
      <c r="X27" s="51">
        <f>IF(AND($G27&lt;=15,$H27&gt;=15),"■■","")</f>
        <v/>
      </c>
      <c r="Y27" s="51">
        <f>IF(AND($G27&lt;=16,$H27&gt;=16),"■■","")</f>
        <v/>
      </c>
      <c r="Z27" s="51">
        <f>IF(AND($G27&lt;=17,$H27&gt;=17),"■■","")</f>
        <v/>
      </c>
      <c r="AA27" s="51">
        <f>IF(AND($G27&lt;=18,$H27&gt;=18),"■■","")</f>
        <v/>
      </c>
      <c r="AB27" s="41" t="inlineStr">
        <is>
          <t>节点 Ready 且可拉取镜像</t>
        </is>
      </c>
      <c r="AC27" s="41" t="inlineStr">
        <is>
          <t>未开始</t>
        </is>
      </c>
      <c r="AD27" s="51">
        <f>IF($H27&lt;$G27,0,$F27/($H27-$G27+1))</f>
        <v/>
      </c>
    </row>
    <row r="28">
      <c r="A28" s="74" t="inlineStr">
        <is>
          <t>D6</t>
        </is>
      </c>
      <c r="B28" s="74" t="n">
        <v>25</v>
      </c>
      <c r="C28" s="41" t="inlineStr">
        <is>
          <t>创建新加坡 ALB + Service / Ingress（PH 备）</t>
        </is>
      </c>
      <c r="D28" s="74" t="inlineStr">
        <is>
          <t>人员A</t>
        </is>
      </c>
      <c r="E28" s="41" t="inlineStr">
        <is>
          <t>19,24</t>
        </is>
      </c>
      <c r="F28" s="51" t="n">
        <v>2</v>
      </c>
      <c r="G28" s="51" t="n">
        <v>11</v>
      </c>
      <c r="H28" s="51" t="n">
        <v>11</v>
      </c>
      <c r="I28" s="83">
        <f>说明与总览!$B$21+VALUE(MID($A28,2,1))-1</f>
        <v/>
      </c>
      <c r="J28" s="51">
        <f>IF(AND($G28&lt;=1,$H28&gt;=1),"■■","")</f>
        <v/>
      </c>
      <c r="K28" s="51">
        <f>IF(AND($G28&lt;=2,$H28&gt;=2),"■■","")</f>
        <v/>
      </c>
      <c r="L28" s="51">
        <f>IF(AND($G28&lt;=3,$H28&gt;=3),"■■","")</f>
        <v/>
      </c>
      <c r="M28" s="51">
        <f>IF(AND($G28&lt;=4,$H28&gt;=4),"■■","")</f>
        <v/>
      </c>
      <c r="N28" s="51">
        <f>IF(AND($G28&lt;=5,$H28&gt;=5),"■■","")</f>
        <v/>
      </c>
      <c r="O28" s="51">
        <f>IF(AND($G28&lt;=6,$H28&gt;=6),"■■","")</f>
        <v/>
      </c>
      <c r="P28" s="51">
        <f>IF(AND($G28&lt;=7,$H28&gt;=7),"■■","")</f>
        <v/>
      </c>
      <c r="Q28" s="51">
        <f>IF(AND($G28&lt;=8,$H28&gt;=8),"■■","")</f>
        <v/>
      </c>
      <c r="R28" s="51">
        <f>IF(AND($G28&lt;=9,$H28&gt;=9),"■■","")</f>
        <v/>
      </c>
      <c r="S28" s="51">
        <f>IF(AND($G28&lt;=10,$H28&gt;=10),"■■","")</f>
        <v/>
      </c>
      <c r="T28" s="51">
        <f>IF(AND($G28&lt;=11,$H28&gt;=11),"■■","")</f>
        <v/>
      </c>
      <c r="U28" s="51">
        <f>IF(AND($G28&lt;=12,$H28&gt;=12),"■■","")</f>
        <v/>
      </c>
      <c r="V28" s="51">
        <f>IF(AND($G28&lt;=13,$H28&gt;=13),"■■","")</f>
        <v/>
      </c>
      <c r="W28" s="51">
        <f>IF(AND($G28&lt;=14,$H28&gt;=14),"■■","")</f>
        <v/>
      </c>
      <c r="X28" s="51">
        <f>IF(AND($G28&lt;=15,$H28&gt;=15),"■■","")</f>
        <v/>
      </c>
      <c r="Y28" s="51">
        <f>IF(AND($G28&lt;=16,$H28&gt;=16),"■■","")</f>
        <v/>
      </c>
      <c r="Z28" s="51">
        <f>IF(AND($G28&lt;=17,$H28&gt;=17),"■■","")</f>
        <v/>
      </c>
      <c r="AA28" s="51">
        <f>IF(AND($G28&lt;=18,$H28&gt;=18),"■■","")</f>
        <v/>
      </c>
      <c r="AB28" s="41" t="inlineStr">
        <is>
          <t>备 region 入口可用且证书生效</t>
        </is>
      </c>
      <c r="AC28" s="41" t="inlineStr">
        <is>
          <t>未开始</t>
        </is>
      </c>
      <c r="AD28" s="51">
        <f>IF($H28&lt;$G28,0,$F28/($H28-$G28+1))</f>
        <v/>
      </c>
    </row>
    <row r="29">
      <c r="A29" s="74" t="inlineStr">
        <is>
          <t>D6</t>
        </is>
      </c>
      <c r="B29" s="74" t="n">
        <v>26</v>
      </c>
      <c r="C29" s="41" t="inlineStr">
        <is>
          <t>接入 SLS / ARMS / Grafana 与云监控站点拨测（马尼拉 + 新加坡）</t>
        </is>
      </c>
      <c r="D29" s="74" t="inlineStr">
        <is>
          <t>人员A</t>
        </is>
      </c>
      <c r="E29" s="41" t="inlineStr">
        <is>
          <t>11</t>
        </is>
      </c>
      <c r="F29" s="51" t="n">
        <v>2</v>
      </c>
      <c r="G29" s="51" t="n">
        <v>11</v>
      </c>
      <c r="H29" s="51" t="n">
        <v>11</v>
      </c>
      <c r="I29" s="83">
        <f>说明与总览!$B$21+VALUE(MID($A29,2,1))-1</f>
        <v/>
      </c>
      <c r="J29" s="51">
        <f>IF(AND($G29&lt;=1,$H29&gt;=1),"■■","")</f>
        <v/>
      </c>
      <c r="K29" s="51">
        <f>IF(AND($G29&lt;=2,$H29&gt;=2),"■■","")</f>
        <v/>
      </c>
      <c r="L29" s="51">
        <f>IF(AND($G29&lt;=3,$H29&gt;=3),"■■","")</f>
        <v/>
      </c>
      <c r="M29" s="51">
        <f>IF(AND($G29&lt;=4,$H29&gt;=4),"■■","")</f>
        <v/>
      </c>
      <c r="N29" s="51">
        <f>IF(AND($G29&lt;=5,$H29&gt;=5),"■■","")</f>
        <v/>
      </c>
      <c r="O29" s="51">
        <f>IF(AND($G29&lt;=6,$H29&gt;=6),"■■","")</f>
        <v/>
      </c>
      <c r="P29" s="51">
        <f>IF(AND($G29&lt;=7,$H29&gt;=7),"■■","")</f>
        <v/>
      </c>
      <c r="Q29" s="51">
        <f>IF(AND($G29&lt;=8,$H29&gt;=8),"■■","")</f>
        <v/>
      </c>
      <c r="R29" s="51">
        <f>IF(AND($G29&lt;=9,$H29&gt;=9),"■■","")</f>
        <v/>
      </c>
      <c r="S29" s="51">
        <f>IF(AND($G29&lt;=10,$H29&gt;=10),"■■","")</f>
        <v/>
      </c>
      <c r="T29" s="51">
        <f>IF(AND($G29&lt;=11,$H29&gt;=11),"■■","")</f>
        <v/>
      </c>
      <c r="U29" s="51">
        <f>IF(AND($G29&lt;=12,$H29&gt;=12),"■■","")</f>
        <v/>
      </c>
      <c r="V29" s="51">
        <f>IF(AND($G29&lt;=13,$H29&gt;=13),"■■","")</f>
        <v/>
      </c>
      <c r="W29" s="51">
        <f>IF(AND($G29&lt;=14,$H29&gt;=14),"■■","")</f>
        <v/>
      </c>
      <c r="X29" s="51">
        <f>IF(AND($G29&lt;=15,$H29&gt;=15),"■■","")</f>
        <v/>
      </c>
      <c r="Y29" s="51">
        <f>IF(AND($G29&lt;=16,$H29&gt;=16),"■■","")</f>
        <v/>
      </c>
      <c r="Z29" s="51">
        <f>IF(AND($G29&lt;=17,$H29&gt;=17),"■■","")</f>
        <v/>
      </c>
      <c r="AA29" s="51">
        <f>IF(AND($G29&lt;=18,$H29&gt;=18),"■■","")</f>
        <v/>
      </c>
      <c r="AB29" s="41" t="inlineStr">
        <is>
          <t>指标、日志、拨测与 Grafana 看板数据均可见</t>
        </is>
      </c>
      <c r="AC29" s="41" t="inlineStr">
        <is>
          <t>未开始</t>
        </is>
      </c>
      <c r="AD29" s="51">
        <f>IF($H29&lt;$G29,0,$F29/($H29-$G29+1))</f>
        <v/>
      </c>
    </row>
    <row r="30">
      <c r="A30" s="74" t="inlineStr">
        <is>
          <t>D6</t>
        </is>
      </c>
      <c r="B30" s="74" t="n">
        <v>27</v>
      </c>
      <c r="C30" s="41" t="inlineStr">
        <is>
          <t>部署 canary Deployment + 独立 Service/Ingress（权重 5）</t>
        </is>
      </c>
      <c r="D30" s="74" t="inlineStr">
        <is>
          <t>人员B</t>
        </is>
      </c>
      <c r="E30" s="41" t="inlineStr">
        <is>
          <t>18</t>
        </is>
      </c>
      <c r="F30" s="51" t="n">
        <v>2</v>
      </c>
      <c r="G30" s="51" t="n">
        <v>11</v>
      </c>
      <c r="H30" s="51" t="n">
        <v>11</v>
      </c>
      <c r="I30" s="83">
        <f>说明与总览!$B$21+VALUE(MID($A30,2,1))-1</f>
        <v/>
      </c>
      <c r="J30" s="51">
        <f>IF(AND($G30&lt;=1,$H30&gt;=1),"■■","")</f>
        <v/>
      </c>
      <c r="K30" s="51">
        <f>IF(AND($G30&lt;=2,$H30&gt;=2),"■■","")</f>
        <v/>
      </c>
      <c r="L30" s="51">
        <f>IF(AND($G30&lt;=3,$H30&gt;=3),"■■","")</f>
        <v/>
      </c>
      <c r="M30" s="51">
        <f>IF(AND($G30&lt;=4,$H30&gt;=4),"■■","")</f>
        <v/>
      </c>
      <c r="N30" s="51">
        <f>IF(AND($G30&lt;=5,$H30&gt;=5),"■■","")</f>
        <v/>
      </c>
      <c r="O30" s="51">
        <f>IF(AND($G30&lt;=6,$H30&gt;=6),"■■","")</f>
        <v/>
      </c>
      <c r="P30" s="51">
        <f>IF(AND($G30&lt;=7,$H30&gt;=7),"■■","")</f>
        <v/>
      </c>
      <c r="Q30" s="51">
        <f>IF(AND($G30&lt;=8,$H30&gt;=8),"■■","")</f>
        <v/>
      </c>
      <c r="R30" s="51">
        <f>IF(AND($G30&lt;=9,$H30&gt;=9),"■■","")</f>
        <v/>
      </c>
      <c r="S30" s="51">
        <f>IF(AND($G30&lt;=10,$H30&gt;=10),"■■","")</f>
        <v/>
      </c>
      <c r="T30" s="51">
        <f>IF(AND($G30&lt;=11,$H30&gt;=11),"■■","")</f>
        <v/>
      </c>
      <c r="U30" s="51">
        <f>IF(AND($G30&lt;=12,$H30&gt;=12),"■■","")</f>
        <v/>
      </c>
      <c r="V30" s="51">
        <f>IF(AND($G30&lt;=13,$H30&gt;=13),"■■","")</f>
        <v/>
      </c>
      <c r="W30" s="51">
        <f>IF(AND($G30&lt;=14,$H30&gt;=14),"■■","")</f>
        <v/>
      </c>
      <c r="X30" s="51">
        <f>IF(AND($G30&lt;=15,$H30&gt;=15),"■■","")</f>
        <v/>
      </c>
      <c r="Y30" s="51">
        <f>IF(AND($G30&lt;=16,$H30&gt;=16),"■■","")</f>
        <v/>
      </c>
      <c r="Z30" s="51">
        <f>IF(AND($G30&lt;=17,$H30&gt;=17),"■■","")</f>
        <v/>
      </c>
      <c r="AA30" s="51">
        <f>IF(AND($G30&lt;=18,$H30&gt;=18),"■■","")</f>
        <v/>
      </c>
      <c r="AB30" s="41" t="inlineStr">
        <is>
          <t>canary-weight 5 生效且可归零</t>
        </is>
      </c>
      <c r="AC30" s="41" t="inlineStr">
        <is>
          <t>未开始</t>
        </is>
      </c>
      <c r="AD30" s="51">
        <f>IF($H30&lt;$G30,0,$F30/($H30-$G30+1))</f>
        <v/>
      </c>
    </row>
    <row r="31">
      <c r="A31" s="74" t="inlineStr">
        <is>
          <t>D4</t>
        </is>
      </c>
      <c r="B31" s="74" t="n">
        <v>28</v>
      </c>
      <c r="C31" s="41" t="inlineStr">
        <is>
          <t>部署 PH 备 Deployment + Secret（NODE_TYPE=slave、公网 verify-full DSN）</t>
        </is>
      </c>
      <c r="D31" s="74" t="inlineStr">
        <is>
          <t>人员B</t>
        </is>
      </c>
      <c r="E31" s="41" t="inlineStr">
        <is>
          <t>24,17</t>
        </is>
      </c>
      <c r="F31" s="51" t="n">
        <v>2</v>
      </c>
      <c r="G31" s="51" t="n">
        <v>7</v>
      </c>
      <c r="H31" s="51" t="n">
        <v>7</v>
      </c>
      <c r="I31" s="83">
        <f>说明与总览!$B$21+VALUE(MID($A31,2,1))-1</f>
        <v/>
      </c>
      <c r="J31" s="51">
        <f>IF(AND($G31&lt;=1,$H31&gt;=1),"■■","")</f>
        <v/>
      </c>
      <c r="K31" s="51">
        <f>IF(AND($G31&lt;=2,$H31&gt;=2),"■■","")</f>
        <v/>
      </c>
      <c r="L31" s="51">
        <f>IF(AND($G31&lt;=3,$H31&gt;=3),"■■","")</f>
        <v/>
      </c>
      <c r="M31" s="51">
        <f>IF(AND($G31&lt;=4,$H31&gt;=4),"■■","")</f>
        <v/>
      </c>
      <c r="N31" s="51">
        <f>IF(AND($G31&lt;=5,$H31&gt;=5),"■■","")</f>
        <v/>
      </c>
      <c r="O31" s="51">
        <f>IF(AND($G31&lt;=6,$H31&gt;=6),"■■","")</f>
        <v/>
      </c>
      <c r="P31" s="51">
        <f>IF(AND($G31&lt;=7,$H31&gt;=7),"■■","")</f>
        <v/>
      </c>
      <c r="Q31" s="51">
        <f>IF(AND($G31&lt;=8,$H31&gt;=8),"■■","")</f>
        <v/>
      </c>
      <c r="R31" s="51">
        <f>IF(AND($G31&lt;=9,$H31&gt;=9),"■■","")</f>
        <v/>
      </c>
      <c r="S31" s="51">
        <f>IF(AND($G31&lt;=10,$H31&gt;=10),"■■","")</f>
        <v/>
      </c>
      <c r="T31" s="51">
        <f>IF(AND($G31&lt;=11,$H31&gt;=11),"■■","")</f>
        <v/>
      </c>
      <c r="U31" s="51">
        <f>IF(AND($G31&lt;=12,$H31&gt;=12),"■■","")</f>
        <v/>
      </c>
      <c r="V31" s="51">
        <f>IF(AND($G31&lt;=13,$H31&gt;=13),"■■","")</f>
        <v/>
      </c>
      <c r="W31" s="51">
        <f>IF(AND($G31&lt;=14,$H31&gt;=14),"■■","")</f>
        <v/>
      </c>
      <c r="X31" s="51">
        <f>IF(AND($G31&lt;=15,$H31&gt;=15),"■■","")</f>
        <v/>
      </c>
      <c r="Y31" s="51">
        <f>IF(AND($G31&lt;=16,$H31&gt;=16),"■■","")</f>
        <v/>
      </c>
      <c r="Z31" s="51">
        <f>IF(AND($G31&lt;=17,$H31&gt;=17),"■■","")</f>
        <v/>
      </c>
      <c r="AA31" s="51">
        <f>IF(AND($G31&lt;=18,$H31&gt;=18),"■■","")</f>
        <v/>
      </c>
      <c r="AB31" s="41" t="inlineStr">
        <is>
          <t>Pod Ready 且 NODE_TYPE=slave</t>
        </is>
      </c>
      <c r="AC31" s="41" t="inlineStr">
        <is>
          <t>未开始</t>
        </is>
      </c>
      <c r="AD31" s="51">
        <f>IF($H31&lt;$G31,0,$F31/($H31-$G31+1))</f>
        <v/>
      </c>
    </row>
    <row r="32">
      <c r="A32" s="74" t="inlineStr">
        <is>
          <t>D4</t>
        </is>
      </c>
      <c r="B32" s="74" t="n">
        <v>29</v>
      </c>
      <c r="C32" s="41" t="inlineStr">
        <is>
          <t>部署备 region 本地 Tair / ClickHouse + 日志采集</t>
        </is>
      </c>
      <c r="D32" s="74" t="inlineStr">
        <is>
          <t>人员B</t>
        </is>
      </c>
      <c r="E32" s="41" t="inlineStr">
        <is>
          <t>28</t>
        </is>
      </c>
      <c r="F32" s="51" t="n">
        <v>2</v>
      </c>
      <c r="G32" s="51" t="n">
        <v>8</v>
      </c>
      <c r="H32" s="51" t="n">
        <v>8</v>
      </c>
      <c r="I32" s="83">
        <f>说明与总览!$B$21+VALUE(MID($A32,2,1))-1</f>
        <v/>
      </c>
      <c r="J32" s="51">
        <f>IF(AND($G32&lt;=1,$H32&gt;=1),"■■","")</f>
        <v/>
      </c>
      <c r="K32" s="51">
        <f>IF(AND($G32&lt;=2,$H32&gt;=2),"■■","")</f>
        <v/>
      </c>
      <c r="L32" s="51">
        <f>IF(AND($G32&lt;=3,$H32&gt;=3),"■■","")</f>
        <v/>
      </c>
      <c r="M32" s="51">
        <f>IF(AND($G32&lt;=4,$H32&gt;=4),"■■","")</f>
        <v/>
      </c>
      <c r="N32" s="51">
        <f>IF(AND($G32&lt;=5,$H32&gt;=5),"■■","")</f>
        <v/>
      </c>
      <c r="O32" s="51">
        <f>IF(AND($G32&lt;=6,$H32&gt;=6),"■■","")</f>
        <v/>
      </c>
      <c r="P32" s="51">
        <f>IF(AND($G32&lt;=7,$H32&gt;=7),"■■","")</f>
        <v/>
      </c>
      <c r="Q32" s="51">
        <f>IF(AND($G32&lt;=8,$H32&gt;=8),"■■","")</f>
        <v/>
      </c>
      <c r="R32" s="51">
        <f>IF(AND($G32&lt;=9,$H32&gt;=9),"■■","")</f>
        <v/>
      </c>
      <c r="S32" s="51">
        <f>IF(AND($G32&lt;=10,$H32&gt;=10),"■■","")</f>
        <v/>
      </c>
      <c r="T32" s="51">
        <f>IF(AND($G32&lt;=11,$H32&gt;=11),"■■","")</f>
        <v/>
      </c>
      <c r="U32" s="51">
        <f>IF(AND($G32&lt;=12,$H32&gt;=12),"■■","")</f>
        <v/>
      </c>
      <c r="V32" s="51">
        <f>IF(AND($G32&lt;=13,$H32&gt;=13),"■■","")</f>
        <v/>
      </c>
      <c r="W32" s="51">
        <f>IF(AND($G32&lt;=14,$H32&gt;=14),"■■","")</f>
        <v/>
      </c>
      <c r="X32" s="51">
        <f>IF(AND($G32&lt;=15,$H32&gt;=15),"■■","")</f>
        <v/>
      </c>
      <c r="Y32" s="51">
        <f>IF(AND($G32&lt;=16,$H32&gt;=16),"■■","")</f>
        <v/>
      </c>
      <c r="Z32" s="51">
        <f>IF(AND($G32&lt;=17,$H32&gt;=17),"■■","")</f>
        <v/>
      </c>
      <c r="AA32" s="51">
        <f>IF(AND($G32&lt;=18,$H32&gt;=18),"■■","")</f>
        <v/>
      </c>
      <c r="AB32" s="41" t="inlineStr">
        <is>
          <t>本地缓存与日志写入正常</t>
        </is>
      </c>
      <c r="AC32" s="41" t="inlineStr">
        <is>
          <t>未开始</t>
        </is>
      </c>
      <c r="AD32" s="51">
        <f>IF($H32&lt;$G32,0,$F32/($H32-$G32+1))</f>
        <v/>
      </c>
    </row>
    <row r="33">
      <c r="A33" s="74" t="inlineStr">
        <is>
          <t>D7</t>
        </is>
      </c>
      <c r="B33" s="74" t="n">
        <v>30</v>
      </c>
      <c r="C33" s="41" t="inlineStr">
        <is>
          <t>打通备 region → 马尼拉 RDS 公网读写并实测 RTT</t>
        </is>
      </c>
      <c r="D33" s="74" t="inlineStr">
        <is>
          <t>人员B</t>
        </is>
      </c>
      <c r="E33" s="41" t="inlineStr">
        <is>
          <t>28,15</t>
        </is>
      </c>
      <c r="F33" s="51" t="n">
        <v>2</v>
      </c>
      <c r="G33" s="51" t="n">
        <v>13</v>
      </c>
      <c r="H33" s="51" t="n">
        <v>13</v>
      </c>
      <c r="I33" s="83">
        <f>说明与总览!$B$21+VALUE(MID($A33,2,1))-1</f>
        <v/>
      </c>
      <c r="J33" s="51">
        <f>IF(AND($G33&lt;=1,$H33&gt;=1),"■■","")</f>
        <v/>
      </c>
      <c r="K33" s="51">
        <f>IF(AND($G33&lt;=2,$H33&gt;=2),"■■","")</f>
        <v/>
      </c>
      <c r="L33" s="51">
        <f>IF(AND($G33&lt;=3,$H33&gt;=3),"■■","")</f>
        <v/>
      </c>
      <c r="M33" s="51">
        <f>IF(AND($G33&lt;=4,$H33&gt;=4),"■■","")</f>
        <v/>
      </c>
      <c r="N33" s="51">
        <f>IF(AND($G33&lt;=5,$H33&gt;=5),"■■","")</f>
        <v/>
      </c>
      <c r="O33" s="51">
        <f>IF(AND($G33&lt;=6,$H33&gt;=6),"■■","")</f>
        <v/>
      </c>
      <c r="P33" s="51">
        <f>IF(AND($G33&lt;=7,$H33&gt;=7),"■■","")</f>
        <v/>
      </c>
      <c r="Q33" s="51">
        <f>IF(AND($G33&lt;=8,$H33&gt;=8),"■■","")</f>
        <v/>
      </c>
      <c r="R33" s="51">
        <f>IF(AND($G33&lt;=9,$H33&gt;=9),"■■","")</f>
        <v/>
      </c>
      <c r="S33" s="51">
        <f>IF(AND($G33&lt;=10,$H33&gt;=10),"■■","")</f>
        <v/>
      </c>
      <c r="T33" s="51">
        <f>IF(AND($G33&lt;=11,$H33&gt;=11),"■■","")</f>
        <v/>
      </c>
      <c r="U33" s="51">
        <f>IF(AND($G33&lt;=12,$H33&gt;=12),"■■","")</f>
        <v/>
      </c>
      <c r="V33" s="51">
        <f>IF(AND($G33&lt;=13,$H33&gt;=13),"■■","")</f>
        <v/>
      </c>
      <c r="W33" s="51">
        <f>IF(AND($G33&lt;=14,$H33&gt;=14),"■■","")</f>
        <v/>
      </c>
      <c r="X33" s="51">
        <f>IF(AND($G33&lt;=15,$H33&gt;=15),"■■","")</f>
        <v/>
      </c>
      <c r="Y33" s="51">
        <f>IF(AND($G33&lt;=16,$H33&gt;=16),"■■","")</f>
        <v/>
      </c>
      <c r="Z33" s="51">
        <f>IF(AND($G33&lt;=17,$H33&gt;=17),"■■","")</f>
        <v/>
      </c>
      <c r="AA33" s="51">
        <f>IF(AND($G33&lt;=18,$H33&gt;=18),"■■","")</f>
        <v/>
      </c>
      <c r="AB33" s="41" t="inlineStr">
        <is>
          <t>读写成功，连接 RTT ≤ 70 ms</t>
        </is>
      </c>
      <c r="AC33" s="41" t="inlineStr">
        <is>
          <t>未开始</t>
        </is>
      </c>
      <c r="AD33" s="51">
        <f>IF($H33&lt;$G33,0,$F33/($H33-$G33+1))</f>
        <v/>
      </c>
    </row>
    <row r="34">
      <c r="A34" s="74" t="inlineStr">
        <is>
          <t>D7</t>
        </is>
      </c>
      <c r="B34" s="74" t="n">
        <v>31</v>
      </c>
      <c r="C34" s="41" t="inlineStr">
        <is>
          <t>灰度发布演练（5→20→50→100 与回滚）</t>
        </is>
      </c>
      <c r="D34" s="74" t="inlineStr">
        <is>
          <t>人员A</t>
        </is>
      </c>
      <c r="E34" s="41" t="inlineStr">
        <is>
          <t>23,27</t>
        </is>
      </c>
      <c r="F34" s="51" t="n">
        <v>3</v>
      </c>
      <c r="G34" s="51" t="n">
        <v>14</v>
      </c>
      <c r="H34" s="51" t="n">
        <v>14</v>
      </c>
      <c r="I34" s="83">
        <f>说明与总览!$B$21+VALUE(MID($A34,2,1))-1</f>
        <v/>
      </c>
      <c r="J34" s="51">
        <f>IF(AND($G34&lt;=1,$H34&gt;=1),"■■","")</f>
        <v/>
      </c>
      <c r="K34" s="51">
        <f>IF(AND($G34&lt;=2,$H34&gt;=2),"■■","")</f>
        <v/>
      </c>
      <c r="L34" s="51">
        <f>IF(AND($G34&lt;=3,$H34&gt;=3),"■■","")</f>
        <v/>
      </c>
      <c r="M34" s="51">
        <f>IF(AND($G34&lt;=4,$H34&gt;=4),"■■","")</f>
        <v/>
      </c>
      <c r="N34" s="51">
        <f>IF(AND($G34&lt;=5,$H34&gt;=5),"■■","")</f>
        <v/>
      </c>
      <c r="O34" s="51">
        <f>IF(AND($G34&lt;=6,$H34&gt;=6),"■■","")</f>
        <v/>
      </c>
      <c r="P34" s="51">
        <f>IF(AND($G34&lt;=7,$H34&gt;=7),"■■","")</f>
        <v/>
      </c>
      <c r="Q34" s="51">
        <f>IF(AND($G34&lt;=8,$H34&gt;=8),"■■","")</f>
        <v/>
      </c>
      <c r="R34" s="51">
        <f>IF(AND($G34&lt;=9,$H34&gt;=9),"■■","")</f>
        <v/>
      </c>
      <c r="S34" s="51">
        <f>IF(AND($G34&lt;=10,$H34&gt;=10),"■■","")</f>
        <v/>
      </c>
      <c r="T34" s="51">
        <f>IF(AND($G34&lt;=11,$H34&gt;=11),"■■","")</f>
        <v/>
      </c>
      <c r="U34" s="51">
        <f>IF(AND($G34&lt;=12,$H34&gt;=12),"■■","")</f>
        <v/>
      </c>
      <c r="V34" s="51">
        <f>IF(AND($G34&lt;=13,$H34&gt;=13),"■■","")</f>
        <v/>
      </c>
      <c r="W34" s="51">
        <f>IF(AND($G34&lt;=14,$H34&gt;=14),"■■","")</f>
        <v/>
      </c>
      <c r="X34" s="51">
        <f>IF(AND($G34&lt;=15,$H34&gt;=15),"■■","")</f>
        <v/>
      </c>
      <c r="Y34" s="51">
        <f>IF(AND($G34&lt;=16,$H34&gt;=16),"■■","")</f>
        <v/>
      </c>
      <c r="Z34" s="51">
        <f>IF(AND($G34&lt;=17,$H34&gt;=17),"■■","")</f>
        <v/>
      </c>
      <c r="AA34" s="51">
        <f>IF(AND($G34&lt;=18,$H34&gt;=18),"■■","")</f>
        <v/>
      </c>
      <c r="AB34" s="41" t="inlineStr">
        <is>
          <t>回滚从触发到权重归零 ≤ 60s</t>
        </is>
      </c>
      <c r="AC34" s="41" t="inlineStr">
        <is>
          <t>未开始</t>
        </is>
      </c>
      <c r="AD34" s="51">
        <f>IF($H34&lt;$G34,0,$F34/($H34-$G34+1))</f>
        <v/>
      </c>
    </row>
    <row r="35">
      <c r="A35" s="74" t="inlineStr">
        <is>
          <t>D7</t>
        </is>
      </c>
      <c r="B35" s="74" t="n">
        <v>32</v>
      </c>
      <c r="C35" s="41" t="inlineStr">
        <is>
          <t>SLO / 错误预算看板 + 告警规则与值班通道（P1 走电话）</t>
        </is>
      </c>
      <c r="D35" s="74" t="inlineStr">
        <is>
          <t>人员A</t>
        </is>
      </c>
      <c r="E35" s="41" t="inlineStr">
        <is>
          <t>26</t>
        </is>
      </c>
      <c r="F35" s="51" t="n">
        <v>1</v>
      </c>
      <c r="G35" s="51" t="n">
        <v>13</v>
      </c>
      <c r="H35" s="51" t="n">
        <v>13</v>
      </c>
      <c r="I35" s="83">
        <f>说明与总览!$B$21+VALUE(MID($A35,2,1))-1</f>
        <v/>
      </c>
      <c r="J35" s="51">
        <f>IF(AND($G35&lt;=1,$H35&gt;=1),"■■","")</f>
        <v/>
      </c>
      <c r="K35" s="51">
        <f>IF(AND($G35&lt;=2,$H35&gt;=2),"■■","")</f>
        <v/>
      </c>
      <c r="L35" s="51">
        <f>IF(AND($G35&lt;=3,$H35&gt;=3),"■■","")</f>
        <v/>
      </c>
      <c r="M35" s="51">
        <f>IF(AND($G35&lt;=4,$H35&gt;=4),"■■","")</f>
        <v/>
      </c>
      <c r="N35" s="51">
        <f>IF(AND($G35&lt;=5,$H35&gt;=5),"■■","")</f>
        <v/>
      </c>
      <c r="O35" s="51">
        <f>IF(AND($G35&lt;=6,$H35&gt;=6),"■■","")</f>
        <v/>
      </c>
      <c r="P35" s="51">
        <f>IF(AND($G35&lt;=7,$H35&gt;=7),"■■","")</f>
        <v/>
      </c>
      <c r="Q35" s="51">
        <f>IF(AND($G35&lt;=8,$H35&gt;=8),"■■","")</f>
        <v/>
      </c>
      <c r="R35" s="51">
        <f>IF(AND($G35&lt;=9,$H35&gt;=9),"■■","")</f>
        <v/>
      </c>
      <c r="S35" s="51">
        <f>IF(AND($G35&lt;=10,$H35&gt;=10),"■■","")</f>
        <v/>
      </c>
      <c r="T35" s="51">
        <f>IF(AND($G35&lt;=11,$H35&gt;=11),"■■","")</f>
        <v/>
      </c>
      <c r="U35" s="51">
        <f>IF(AND($G35&lt;=12,$H35&gt;=12),"■■","")</f>
        <v/>
      </c>
      <c r="V35" s="51">
        <f>IF(AND($G35&lt;=13,$H35&gt;=13),"■■","")</f>
        <v/>
      </c>
      <c r="W35" s="51">
        <f>IF(AND($G35&lt;=14,$H35&gt;=14),"■■","")</f>
        <v/>
      </c>
      <c r="X35" s="51">
        <f>IF(AND($G35&lt;=15,$H35&gt;=15),"■■","")</f>
        <v/>
      </c>
      <c r="Y35" s="51">
        <f>IF(AND($G35&lt;=16,$H35&gt;=16),"■■","")</f>
        <v/>
      </c>
      <c r="Z35" s="51">
        <f>IF(AND($G35&lt;=17,$H35&gt;=17),"■■","")</f>
        <v/>
      </c>
      <c r="AA35" s="51">
        <f>IF(AND($G35&lt;=18,$H35&gt;=18),"■■","")</f>
        <v/>
      </c>
      <c r="AB35" s="41" t="inlineStr">
        <is>
          <t>看板数据正确，告警可触发并升级</t>
        </is>
      </c>
      <c r="AC35" s="41" t="inlineStr">
        <is>
          <t>未开始</t>
        </is>
      </c>
      <c r="AD35" s="51">
        <f>IF($H35&lt;$G35,0,$F35/($H35-$G35+1))</f>
        <v/>
      </c>
    </row>
    <row r="36">
      <c r="A36" s="74" t="inlineStr">
        <is>
          <t>D8</t>
        </is>
      </c>
      <c r="B36" s="74" t="n">
        <v>33</v>
      </c>
      <c r="C36" s="41" t="inlineStr">
        <is>
          <t>容量与压测验收（并发 SSE 1500 / 管理面 800 QPS）</t>
        </is>
      </c>
      <c r="D36" s="74" t="inlineStr">
        <is>
          <t>人员A</t>
        </is>
      </c>
      <c r="E36" s="41" t="inlineStr">
        <is>
          <t>23,45</t>
        </is>
      </c>
      <c r="F36" s="51" t="n">
        <v>2</v>
      </c>
      <c r="G36" s="51" t="n">
        <v>15</v>
      </c>
      <c r="H36" s="51" t="n">
        <v>15</v>
      </c>
      <c r="I36" s="83">
        <f>说明与总览!$B$21+VALUE(MID($A36,2,1))-1</f>
        <v/>
      </c>
      <c r="J36" s="51">
        <f>IF(AND($G36&lt;=1,$H36&gt;=1),"■■","")</f>
        <v/>
      </c>
      <c r="K36" s="51">
        <f>IF(AND($G36&lt;=2,$H36&gt;=2),"■■","")</f>
        <v/>
      </c>
      <c r="L36" s="51">
        <f>IF(AND($G36&lt;=3,$H36&gt;=3),"■■","")</f>
        <v/>
      </c>
      <c r="M36" s="51">
        <f>IF(AND($G36&lt;=4,$H36&gt;=4),"■■","")</f>
        <v/>
      </c>
      <c r="N36" s="51">
        <f>IF(AND($G36&lt;=5,$H36&gt;=5),"■■","")</f>
        <v/>
      </c>
      <c r="O36" s="51">
        <f>IF(AND($G36&lt;=6,$H36&gt;=6),"■■","")</f>
        <v/>
      </c>
      <c r="P36" s="51">
        <f>IF(AND($G36&lt;=7,$H36&gt;=7),"■■","")</f>
        <v/>
      </c>
      <c r="Q36" s="51">
        <f>IF(AND($G36&lt;=8,$H36&gt;=8),"■■","")</f>
        <v/>
      </c>
      <c r="R36" s="51">
        <f>IF(AND($G36&lt;=9,$H36&gt;=9),"■■","")</f>
        <v/>
      </c>
      <c r="S36" s="51">
        <f>IF(AND($G36&lt;=10,$H36&gt;=10),"■■","")</f>
        <v/>
      </c>
      <c r="T36" s="51">
        <f>IF(AND($G36&lt;=11,$H36&gt;=11),"■■","")</f>
        <v/>
      </c>
      <c r="U36" s="51">
        <f>IF(AND($G36&lt;=12,$H36&gt;=12),"■■","")</f>
        <v/>
      </c>
      <c r="V36" s="51">
        <f>IF(AND($G36&lt;=13,$H36&gt;=13),"■■","")</f>
        <v/>
      </c>
      <c r="W36" s="51">
        <f>IF(AND($G36&lt;=14,$H36&gt;=14),"■■","")</f>
        <v/>
      </c>
      <c r="X36" s="51">
        <f>IF(AND($G36&lt;=15,$H36&gt;=15),"■■","")</f>
        <v/>
      </c>
      <c r="Y36" s="51">
        <f>IF(AND($G36&lt;=16,$H36&gt;=16),"■■","")</f>
        <v/>
      </c>
      <c r="Z36" s="51">
        <f>IF(AND($G36&lt;=17,$H36&gt;=17),"■■","")</f>
        <v/>
      </c>
      <c r="AA36" s="51">
        <f>IF(AND($G36&lt;=18,$H36&gt;=18),"■■","")</f>
        <v/>
      </c>
      <c r="AB36" s="41" t="inlineStr">
        <is>
          <t>达到单实例基线，劣化 ≤ 10%</t>
        </is>
      </c>
      <c r="AC36" s="41" t="inlineStr">
        <is>
          <t>未开始</t>
        </is>
      </c>
      <c r="AD36" s="51">
        <f>IF($H36&lt;$G36,0,$F36/($H36-$G36+1))</f>
        <v/>
      </c>
    </row>
    <row r="37">
      <c r="A37" s="74" t="inlineStr">
        <is>
          <t>D8</t>
        </is>
      </c>
      <c r="B37" s="74" t="n">
        <v>34</v>
      </c>
      <c r="C37" s="41" t="inlineStr">
        <is>
          <t>上线检查表、发布窗口冻结与正式上线</t>
        </is>
      </c>
      <c r="D37" s="74" t="inlineStr">
        <is>
          <t>人员A</t>
        </is>
      </c>
      <c r="E37" s="41" t="inlineStr">
        <is>
          <t>31,33,36,37,38</t>
        </is>
      </c>
      <c r="F37" s="51" t="n">
        <v>1</v>
      </c>
      <c r="G37" s="51" t="n">
        <v>16</v>
      </c>
      <c r="H37" s="51" t="n">
        <v>16</v>
      </c>
      <c r="I37" s="83">
        <f>说明与总览!$B$21+VALUE(MID($A37,2,1))-1</f>
        <v/>
      </c>
      <c r="J37" s="51">
        <f>IF(AND($G37&lt;=1,$H37&gt;=1),"■■","")</f>
        <v/>
      </c>
      <c r="K37" s="51">
        <f>IF(AND($G37&lt;=2,$H37&gt;=2),"■■","")</f>
        <v/>
      </c>
      <c r="L37" s="51">
        <f>IF(AND($G37&lt;=3,$H37&gt;=3),"■■","")</f>
        <v/>
      </c>
      <c r="M37" s="51">
        <f>IF(AND($G37&lt;=4,$H37&gt;=4),"■■","")</f>
        <v/>
      </c>
      <c r="N37" s="51">
        <f>IF(AND($G37&lt;=5,$H37&gt;=5),"■■","")</f>
        <v/>
      </c>
      <c r="O37" s="51">
        <f>IF(AND($G37&lt;=6,$H37&gt;=6),"■■","")</f>
        <v/>
      </c>
      <c r="P37" s="51">
        <f>IF(AND($G37&lt;=7,$H37&gt;=7),"■■","")</f>
        <v/>
      </c>
      <c r="Q37" s="51">
        <f>IF(AND($G37&lt;=8,$H37&gt;=8),"■■","")</f>
        <v/>
      </c>
      <c r="R37" s="51">
        <f>IF(AND($G37&lt;=9,$H37&gt;=9),"■■","")</f>
        <v/>
      </c>
      <c r="S37" s="51">
        <f>IF(AND($G37&lt;=10,$H37&gt;=10),"■■","")</f>
        <v/>
      </c>
      <c r="T37" s="51">
        <f>IF(AND($G37&lt;=11,$H37&gt;=11),"■■","")</f>
        <v/>
      </c>
      <c r="U37" s="51">
        <f>IF(AND($G37&lt;=12,$H37&gt;=12),"■■","")</f>
        <v/>
      </c>
      <c r="V37" s="51">
        <f>IF(AND($G37&lt;=13,$H37&gt;=13),"■■","")</f>
        <v/>
      </c>
      <c r="W37" s="51">
        <f>IF(AND($G37&lt;=14,$H37&gt;=14),"■■","")</f>
        <v/>
      </c>
      <c r="X37" s="51">
        <f>IF(AND($G37&lt;=15,$H37&gt;=15),"■■","")</f>
        <v/>
      </c>
      <c r="Y37" s="51">
        <f>IF(AND($G37&lt;=16,$H37&gt;=16),"■■","")</f>
        <v/>
      </c>
      <c r="Z37" s="51">
        <f>IF(AND($G37&lt;=17,$H37&gt;=17),"■■","")</f>
        <v/>
      </c>
      <c r="AA37" s="51">
        <f>IF(AND($G37&lt;=18,$H37&gt;=18),"■■","")</f>
        <v/>
      </c>
      <c r="AB37" s="41" t="inlineStr">
        <is>
          <t>上线检查表全部通过；上线后 1 小时值守无 P1/P2 告警、成功率达标</t>
        </is>
      </c>
      <c r="AC37" s="41" t="inlineStr">
        <is>
          <t>未开始</t>
        </is>
      </c>
      <c r="AD37" s="51">
        <f>IF($H37&lt;$G37,0,$F37/($H37-$G37+1))</f>
        <v/>
      </c>
    </row>
    <row r="38">
      <c r="A38" s="74" t="inlineStr">
        <is>
          <t>D9</t>
        </is>
      </c>
      <c r="B38" s="74" t="n">
        <v>35</v>
      </c>
      <c r="C38" s="41" t="inlineStr">
        <is>
          <t>移交运维：Runbook / 应急预案 / 值班表 / 成本看板</t>
        </is>
      </c>
      <c r="D38" s="74" t="inlineStr">
        <is>
          <t>人员A</t>
        </is>
      </c>
      <c r="E38" s="41" t="inlineStr">
        <is>
          <t>34</t>
        </is>
      </c>
      <c r="F38" s="51" t="n">
        <v>1</v>
      </c>
      <c r="G38" s="51" t="n">
        <v>17</v>
      </c>
      <c r="H38" s="51" t="n">
        <v>17</v>
      </c>
      <c r="I38" s="83">
        <f>说明与总览!$B$21+VALUE(MID($A38,2,1))-1</f>
        <v/>
      </c>
      <c r="J38" s="51">
        <f>IF(AND($G38&lt;=1,$H38&gt;=1),"■■","")</f>
        <v/>
      </c>
      <c r="K38" s="51">
        <f>IF(AND($G38&lt;=2,$H38&gt;=2),"■■","")</f>
        <v/>
      </c>
      <c r="L38" s="51">
        <f>IF(AND($G38&lt;=3,$H38&gt;=3),"■■","")</f>
        <v/>
      </c>
      <c r="M38" s="51">
        <f>IF(AND($G38&lt;=4,$H38&gt;=4),"■■","")</f>
        <v/>
      </c>
      <c r="N38" s="51">
        <f>IF(AND($G38&lt;=5,$H38&gt;=5),"■■","")</f>
        <v/>
      </c>
      <c r="O38" s="51">
        <f>IF(AND($G38&lt;=6,$H38&gt;=6),"■■","")</f>
        <v/>
      </c>
      <c r="P38" s="51">
        <f>IF(AND($G38&lt;=7,$H38&gt;=7),"■■","")</f>
        <v/>
      </c>
      <c r="Q38" s="51">
        <f>IF(AND($G38&lt;=8,$H38&gt;=8),"■■","")</f>
        <v/>
      </c>
      <c r="R38" s="51">
        <f>IF(AND($G38&lt;=9,$H38&gt;=9),"■■","")</f>
        <v/>
      </c>
      <c r="S38" s="51">
        <f>IF(AND($G38&lt;=10,$H38&gt;=10),"■■","")</f>
        <v/>
      </c>
      <c r="T38" s="51">
        <f>IF(AND($G38&lt;=11,$H38&gt;=11),"■■","")</f>
        <v/>
      </c>
      <c r="U38" s="51">
        <f>IF(AND($G38&lt;=12,$H38&gt;=12),"■■","")</f>
        <v/>
      </c>
      <c r="V38" s="51">
        <f>IF(AND($G38&lt;=13,$H38&gt;=13),"■■","")</f>
        <v/>
      </c>
      <c r="W38" s="51">
        <f>IF(AND($G38&lt;=14,$H38&gt;=14),"■■","")</f>
        <v/>
      </c>
      <c r="X38" s="51">
        <f>IF(AND($G38&lt;=15,$H38&gt;=15),"■■","")</f>
        <v/>
      </c>
      <c r="Y38" s="51">
        <f>IF(AND($G38&lt;=16,$H38&gt;=16),"■■","")</f>
        <v/>
      </c>
      <c r="Z38" s="51">
        <f>IF(AND($G38&lt;=17,$H38&gt;=17),"■■","")</f>
        <v/>
      </c>
      <c r="AA38" s="51">
        <f>IF(AND($G38&lt;=18,$H38&gt;=18),"■■","")</f>
        <v/>
      </c>
      <c r="AB38" s="41" t="inlineStr">
        <is>
          <t>文档与看板交付并完成交接评审</t>
        </is>
      </c>
      <c r="AC38" s="41" t="inlineStr">
        <is>
          <t>未开始</t>
        </is>
      </c>
      <c r="AD38" s="51">
        <f>IF($H38&lt;$G38,0,$F38/($H38-$G38+1))</f>
        <v/>
      </c>
    </row>
    <row r="39">
      <c r="A39" s="74" t="inlineStr">
        <is>
          <t>D8</t>
        </is>
      </c>
      <c r="B39" s="74" t="n">
        <v>36</v>
      </c>
      <c r="C39" s="41" t="inlineStr">
        <is>
          <t>备 region 接管演练（GTM 强制切换）</t>
        </is>
      </c>
      <c r="D39" s="74" t="inlineStr">
        <is>
          <t>人员B</t>
        </is>
      </c>
      <c r="E39" s="41" t="inlineStr">
        <is>
          <t>30,21</t>
        </is>
      </c>
      <c r="F39" s="51" t="n">
        <v>2</v>
      </c>
      <c r="G39" s="51" t="n">
        <v>15</v>
      </c>
      <c r="H39" s="51" t="n">
        <v>15</v>
      </c>
      <c r="I39" s="83">
        <f>说明与总览!$B$21+VALUE(MID($A39,2,1))-1</f>
        <v/>
      </c>
      <c r="J39" s="51">
        <f>IF(AND($G39&lt;=1,$H39&gt;=1),"■■","")</f>
        <v/>
      </c>
      <c r="K39" s="51">
        <f>IF(AND($G39&lt;=2,$H39&gt;=2),"■■","")</f>
        <v/>
      </c>
      <c r="L39" s="51">
        <f>IF(AND($G39&lt;=3,$H39&gt;=3),"■■","")</f>
        <v/>
      </c>
      <c r="M39" s="51">
        <f>IF(AND($G39&lt;=4,$H39&gt;=4),"■■","")</f>
        <v/>
      </c>
      <c r="N39" s="51">
        <f>IF(AND($G39&lt;=5,$H39&gt;=5),"■■","")</f>
        <v/>
      </c>
      <c r="O39" s="51">
        <f>IF(AND($G39&lt;=6,$H39&gt;=6),"■■","")</f>
        <v/>
      </c>
      <c r="P39" s="51">
        <f>IF(AND($G39&lt;=7,$H39&gt;=7),"■■","")</f>
        <v/>
      </c>
      <c r="Q39" s="51">
        <f>IF(AND($G39&lt;=8,$H39&gt;=8),"■■","")</f>
        <v/>
      </c>
      <c r="R39" s="51">
        <f>IF(AND($G39&lt;=9,$H39&gt;=9),"■■","")</f>
        <v/>
      </c>
      <c r="S39" s="51">
        <f>IF(AND($G39&lt;=10,$H39&gt;=10),"■■","")</f>
        <v/>
      </c>
      <c r="T39" s="51">
        <f>IF(AND($G39&lt;=11,$H39&gt;=11),"■■","")</f>
        <v/>
      </c>
      <c r="U39" s="51">
        <f>IF(AND($G39&lt;=12,$H39&gt;=12),"■■","")</f>
        <v/>
      </c>
      <c r="V39" s="51">
        <f>IF(AND($G39&lt;=13,$H39&gt;=13),"■■","")</f>
        <v/>
      </c>
      <c r="W39" s="51">
        <f>IF(AND($G39&lt;=14,$H39&gt;=14),"■■","")</f>
        <v/>
      </c>
      <c r="X39" s="51">
        <f>IF(AND($G39&lt;=15,$H39&gt;=15),"■■","")</f>
        <v/>
      </c>
      <c r="Y39" s="51">
        <f>IF(AND($G39&lt;=16,$H39&gt;=16),"■■","")</f>
        <v/>
      </c>
      <c r="Z39" s="51">
        <f>IF(AND($G39&lt;=17,$H39&gt;=17),"■■","")</f>
        <v/>
      </c>
      <c r="AA39" s="51">
        <f>IF(AND($G39&lt;=18,$H39&gt;=18),"■■","")</f>
        <v/>
      </c>
      <c r="AB39" s="41" t="inlineStr">
        <is>
          <t>成功率不降、接管期写入 P99 抬升 ≤ 80ms</t>
        </is>
      </c>
      <c r="AC39" s="41" t="inlineStr">
        <is>
          <t>未开始</t>
        </is>
      </c>
      <c r="AD39" s="51">
        <f>IF($H39&lt;$G39,0,$F39/($H39-$G39+1))</f>
        <v/>
      </c>
    </row>
    <row r="40">
      <c r="A40" s="74" t="inlineStr">
        <is>
          <t>D7</t>
        </is>
      </c>
      <c r="B40" s="74" t="n">
        <v>37</v>
      </c>
      <c r="C40" s="41" t="inlineStr">
        <is>
          <t>主库故障切换演练（RDS 主备 + 应用重连 + 额度对账）</t>
        </is>
      </c>
      <c r="D40" s="74" t="inlineStr">
        <is>
          <t>人员B</t>
        </is>
      </c>
      <c r="E40" s="41" t="inlineStr">
        <is>
          <t>4,23</t>
        </is>
      </c>
      <c r="F40" s="51" t="n">
        <v>2</v>
      </c>
      <c r="G40" s="51" t="n">
        <v>13</v>
      </c>
      <c r="H40" s="51" t="n">
        <v>13</v>
      </c>
      <c r="I40" s="83">
        <f>说明与总览!$B$21+VALUE(MID($A40,2,1))-1</f>
        <v/>
      </c>
      <c r="J40" s="51">
        <f>IF(AND($G40&lt;=1,$H40&gt;=1),"■■","")</f>
        <v/>
      </c>
      <c r="K40" s="51">
        <f>IF(AND($G40&lt;=2,$H40&gt;=2),"■■","")</f>
        <v/>
      </c>
      <c r="L40" s="51">
        <f>IF(AND($G40&lt;=3,$H40&gt;=3),"■■","")</f>
        <v/>
      </c>
      <c r="M40" s="51">
        <f>IF(AND($G40&lt;=4,$H40&gt;=4),"■■","")</f>
        <v/>
      </c>
      <c r="N40" s="51">
        <f>IF(AND($G40&lt;=5,$H40&gt;=5),"■■","")</f>
        <v/>
      </c>
      <c r="O40" s="51">
        <f>IF(AND($G40&lt;=6,$H40&gt;=6),"■■","")</f>
        <v/>
      </c>
      <c r="P40" s="51">
        <f>IF(AND($G40&lt;=7,$H40&gt;=7),"■■","")</f>
        <v/>
      </c>
      <c r="Q40" s="51">
        <f>IF(AND($G40&lt;=8,$H40&gt;=8),"■■","")</f>
        <v/>
      </c>
      <c r="R40" s="51">
        <f>IF(AND($G40&lt;=9,$H40&gt;=9),"■■","")</f>
        <v/>
      </c>
      <c r="S40" s="51">
        <f>IF(AND($G40&lt;=10,$H40&gt;=10),"■■","")</f>
        <v/>
      </c>
      <c r="T40" s="51">
        <f>IF(AND($G40&lt;=11,$H40&gt;=11),"■■","")</f>
        <v/>
      </c>
      <c r="U40" s="51">
        <f>IF(AND($G40&lt;=12,$H40&gt;=12),"■■","")</f>
        <v/>
      </c>
      <c r="V40" s="51">
        <f>IF(AND($G40&lt;=13,$H40&gt;=13),"■■","")</f>
        <v/>
      </c>
      <c r="W40" s="51">
        <f>IF(AND($G40&lt;=14,$H40&gt;=14),"■■","")</f>
        <v/>
      </c>
      <c r="X40" s="51">
        <f>IF(AND($G40&lt;=15,$H40&gt;=15),"■■","")</f>
        <v/>
      </c>
      <c r="Y40" s="51">
        <f>IF(AND($G40&lt;=16,$H40&gt;=16),"■■","")</f>
        <v/>
      </c>
      <c r="Z40" s="51">
        <f>IF(AND($G40&lt;=17,$H40&gt;=17),"■■","")</f>
        <v/>
      </c>
      <c r="AA40" s="51">
        <f>IF(AND($G40&lt;=18,$H40&gt;=18),"■■","")</f>
        <v/>
      </c>
      <c r="AB40" s="41" t="inlineStr">
        <is>
          <t>切换 ≤ 60s，额度对账一致</t>
        </is>
      </c>
      <c r="AC40" s="41" t="inlineStr">
        <is>
          <t>未开始</t>
        </is>
      </c>
      <c r="AD40" s="51">
        <f>IF($H40&lt;$G40,0,$F40/($H40-$G40+1))</f>
        <v/>
      </c>
    </row>
    <row r="41">
      <c r="A41" s="74" t="inlineStr">
        <is>
          <t>D6</t>
        </is>
      </c>
      <c r="B41" s="74" t="n">
        <v>38</v>
      </c>
      <c r="C41" s="41" t="inlineStr">
        <is>
          <t>上线前安全核查（OWASP / 白名单 / 密钥 / 审计）</t>
        </is>
      </c>
      <c r="D41" s="74" t="inlineStr">
        <is>
          <t>人员B</t>
        </is>
      </c>
      <c r="E41" s="41" t="inlineStr">
        <is>
          <t>22</t>
        </is>
      </c>
      <c r="F41" s="51" t="n">
        <v>2</v>
      </c>
      <c r="G41" s="51" t="n">
        <v>12</v>
      </c>
      <c r="H41" s="51" t="n">
        <v>12</v>
      </c>
      <c r="I41" s="83">
        <f>说明与总览!$B$21+VALUE(MID($A41,2,1))-1</f>
        <v/>
      </c>
      <c r="J41" s="51">
        <f>IF(AND($G41&lt;=1,$H41&gt;=1),"■■","")</f>
        <v/>
      </c>
      <c r="K41" s="51">
        <f>IF(AND($G41&lt;=2,$H41&gt;=2),"■■","")</f>
        <v/>
      </c>
      <c r="L41" s="51">
        <f>IF(AND($G41&lt;=3,$H41&gt;=3),"■■","")</f>
        <v/>
      </c>
      <c r="M41" s="51">
        <f>IF(AND($G41&lt;=4,$H41&gt;=4),"■■","")</f>
        <v/>
      </c>
      <c r="N41" s="51">
        <f>IF(AND($G41&lt;=5,$H41&gt;=5),"■■","")</f>
        <v/>
      </c>
      <c r="O41" s="51">
        <f>IF(AND($G41&lt;=6,$H41&gt;=6),"■■","")</f>
        <v/>
      </c>
      <c r="P41" s="51">
        <f>IF(AND($G41&lt;=7,$H41&gt;=7),"■■","")</f>
        <v/>
      </c>
      <c r="Q41" s="51">
        <f>IF(AND($G41&lt;=8,$H41&gt;=8),"■■","")</f>
        <v/>
      </c>
      <c r="R41" s="51">
        <f>IF(AND($G41&lt;=9,$H41&gt;=9),"■■","")</f>
        <v/>
      </c>
      <c r="S41" s="51">
        <f>IF(AND($G41&lt;=10,$H41&gt;=10),"■■","")</f>
        <v/>
      </c>
      <c r="T41" s="51">
        <f>IF(AND($G41&lt;=11,$H41&gt;=11),"■■","")</f>
        <v/>
      </c>
      <c r="U41" s="51">
        <f>IF(AND($G41&lt;=12,$H41&gt;=12),"■■","")</f>
        <v/>
      </c>
      <c r="V41" s="51">
        <f>IF(AND($G41&lt;=13,$H41&gt;=13),"■■","")</f>
        <v/>
      </c>
      <c r="W41" s="51">
        <f>IF(AND($G41&lt;=14,$H41&gt;=14),"■■","")</f>
        <v/>
      </c>
      <c r="X41" s="51">
        <f>IF(AND($G41&lt;=15,$H41&gt;=15),"■■","")</f>
        <v/>
      </c>
      <c r="Y41" s="51">
        <f>IF(AND($G41&lt;=16,$H41&gt;=16),"■■","")</f>
        <v/>
      </c>
      <c r="Z41" s="51">
        <f>IF(AND($G41&lt;=17,$H41&gt;=17),"■■","")</f>
        <v/>
      </c>
      <c r="AA41" s="51">
        <f>IF(AND($G41&lt;=18,$H41&gt;=18),"■■","")</f>
        <v/>
      </c>
      <c r="AB41" s="41" t="inlineStr">
        <is>
          <t>无高危项，整改项闭环</t>
        </is>
      </c>
      <c r="AC41" s="41" t="inlineStr">
        <is>
          <t>未开始</t>
        </is>
      </c>
      <c r="AD41" s="51">
        <f>IF($H41&lt;$G41,0,$F41/($H41-$G41+1))</f>
        <v/>
      </c>
    </row>
    <row r="42">
      <c r="A42" s="74" t="inlineStr">
        <is>
          <t>D8</t>
        </is>
      </c>
      <c r="B42" s="74" t="n">
        <v>39</v>
      </c>
      <c r="C42" s="41" t="inlineStr">
        <is>
          <t>备 region 链路拨测与告警（不健康时阻止 GTM 接管）</t>
        </is>
      </c>
      <c r="D42" s="74" t="inlineStr">
        <is>
          <t>人员B</t>
        </is>
      </c>
      <c r="E42" s="41" t="inlineStr">
        <is>
          <t>30</t>
        </is>
      </c>
      <c r="F42" s="51" t="n">
        <v>2</v>
      </c>
      <c r="G42" s="51" t="n">
        <v>15</v>
      </c>
      <c r="H42" s="51" t="n">
        <v>15</v>
      </c>
      <c r="I42" s="83">
        <f>说明与总览!$B$21+VALUE(MID($A42,2,1))-1</f>
        <v/>
      </c>
      <c r="J42" s="51">
        <f>IF(AND($G42&lt;=1,$H42&gt;=1),"■■","")</f>
        <v/>
      </c>
      <c r="K42" s="51">
        <f>IF(AND($G42&lt;=2,$H42&gt;=2),"■■","")</f>
        <v/>
      </c>
      <c r="L42" s="51">
        <f>IF(AND($G42&lt;=3,$H42&gt;=3),"■■","")</f>
        <v/>
      </c>
      <c r="M42" s="51">
        <f>IF(AND($G42&lt;=4,$H42&gt;=4),"■■","")</f>
        <v/>
      </c>
      <c r="N42" s="51">
        <f>IF(AND($G42&lt;=5,$H42&gt;=5),"■■","")</f>
        <v/>
      </c>
      <c r="O42" s="51">
        <f>IF(AND($G42&lt;=6,$H42&gt;=6),"■■","")</f>
        <v/>
      </c>
      <c r="P42" s="51">
        <f>IF(AND($G42&lt;=7,$H42&gt;=7),"■■","")</f>
        <v/>
      </c>
      <c r="Q42" s="51">
        <f>IF(AND($G42&lt;=8,$H42&gt;=8),"■■","")</f>
        <v/>
      </c>
      <c r="R42" s="51">
        <f>IF(AND($G42&lt;=9,$H42&gt;=9),"■■","")</f>
        <v/>
      </c>
      <c r="S42" s="51">
        <f>IF(AND($G42&lt;=10,$H42&gt;=10),"■■","")</f>
        <v/>
      </c>
      <c r="T42" s="51">
        <f>IF(AND($G42&lt;=11,$H42&gt;=11),"■■","")</f>
        <v/>
      </c>
      <c r="U42" s="51">
        <f>IF(AND($G42&lt;=12,$H42&gt;=12),"■■","")</f>
        <v/>
      </c>
      <c r="V42" s="51">
        <f>IF(AND($G42&lt;=13,$H42&gt;=13),"■■","")</f>
        <v/>
      </c>
      <c r="W42" s="51">
        <f>IF(AND($G42&lt;=14,$H42&gt;=14),"■■","")</f>
        <v/>
      </c>
      <c r="X42" s="51">
        <f>IF(AND($G42&lt;=15,$H42&gt;=15),"■■","")</f>
        <v/>
      </c>
      <c r="Y42" s="51">
        <f>IF(AND($G42&lt;=16,$H42&gt;=16),"■■","")</f>
        <v/>
      </c>
      <c r="Z42" s="51">
        <f>IF(AND($G42&lt;=17,$H42&gt;=17),"■■","")</f>
        <v/>
      </c>
      <c r="AA42" s="51">
        <f>IF(AND($G42&lt;=18,$H42&gt;=18),"■■","")</f>
        <v/>
      </c>
      <c r="AB42" s="41" t="inlineStr">
        <is>
          <t>链路异常可告警并阻断接管</t>
        </is>
      </c>
      <c r="AC42" s="41" t="inlineStr">
        <is>
          <t>未开始</t>
        </is>
      </c>
      <c r="AD42" s="51">
        <f>IF($H42&lt;$G42,0,$F42/($H42-$G42+1))</f>
        <v/>
      </c>
    </row>
    <row r="43">
      <c r="A43" s="74" t="inlineStr">
        <is>
          <t>D6</t>
        </is>
      </c>
      <c r="B43" s="74" t="n">
        <v>40</v>
      </c>
      <c r="C43" s="41" t="inlineStr">
        <is>
          <t>证书正式部署到 ALB / WAF / DCDN（含 SNI 校验与到期告警）</t>
        </is>
      </c>
      <c r="D43" s="74" t="inlineStr">
        <is>
          <t>人员A</t>
        </is>
      </c>
      <c r="E43" s="41" t="inlineStr">
        <is>
          <t>19,20,25</t>
        </is>
      </c>
      <c r="F43" s="51" t="n">
        <v>1</v>
      </c>
      <c r="G43" s="51" t="n">
        <v>12</v>
      </c>
      <c r="H43" s="51" t="n">
        <v>12</v>
      </c>
      <c r="I43" s="83">
        <f>说明与总览!$B$21+VALUE(MID($A43,2,1))-1</f>
        <v/>
      </c>
      <c r="J43" s="51">
        <f>IF(AND($G43&lt;=1,$H43&gt;=1),"■■","")</f>
        <v/>
      </c>
      <c r="K43" s="51">
        <f>IF(AND($G43&lt;=2,$H43&gt;=2),"■■","")</f>
        <v/>
      </c>
      <c r="L43" s="51">
        <f>IF(AND($G43&lt;=3,$H43&gt;=3),"■■","")</f>
        <v/>
      </c>
      <c r="M43" s="51">
        <f>IF(AND($G43&lt;=4,$H43&gt;=4),"■■","")</f>
        <v/>
      </c>
      <c r="N43" s="51">
        <f>IF(AND($G43&lt;=5,$H43&gt;=5),"■■","")</f>
        <v/>
      </c>
      <c r="O43" s="51">
        <f>IF(AND($G43&lt;=6,$H43&gt;=6),"■■","")</f>
        <v/>
      </c>
      <c r="P43" s="51">
        <f>IF(AND($G43&lt;=7,$H43&gt;=7),"■■","")</f>
        <v/>
      </c>
      <c r="Q43" s="51">
        <f>IF(AND($G43&lt;=8,$H43&gt;=8),"■■","")</f>
        <v/>
      </c>
      <c r="R43" s="51">
        <f>IF(AND($G43&lt;=9,$H43&gt;=9),"■■","")</f>
        <v/>
      </c>
      <c r="S43" s="51">
        <f>IF(AND($G43&lt;=10,$H43&gt;=10),"■■","")</f>
        <v/>
      </c>
      <c r="T43" s="51">
        <f>IF(AND($G43&lt;=11,$H43&gt;=11),"■■","")</f>
        <v/>
      </c>
      <c r="U43" s="51">
        <f>IF(AND($G43&lt;=12,$H43&gt;=12),"■■","")</f>
        <v/>
      </c>
      <c r="V43" s="51">
        <f>IF(AND($G43&lt;=13,$H43&gt;=13),"■■","")</f>
        <v/>
      </c>
      <c r="W43" s="51">
        <f>IF(AND($G43&lt;=14,$H43&gt;=14),"■■","")</f>
        <v/>
      </c>
      <c r="X43" s="51">
        <f>IF(AND($G43&lt;=15,$H43&gt;=15),"■■","")</f>
        <v/>
      </c>
      <c r="Y43" s="51">
        <f>IF(AND($G43&lt;=16,$H43&gt;=16),"■■","")</f>
        <v/>
      </c>
      <c r="Z43" s="51">
        <f>IF(AND($G43&lt;=17,$H43&gt;=17),"■■","")</f>
        <v/>
      </c>
      <c r="AA43" s="51">
        <f>IF(AND($G43&lt;=18,$H43&gt;=18),"■■","")</f>
        <v/>
      </c>
      <c r="AB43" s="41" t="inlineStr">
        <is>
          <t>证书链校验通过，TLS 1.2/1.3 可用，SNI 与域名校验生效</t>
        </is>
      </c>
      <c r="AC43" s="41" t="inlineStr">
        <is>
          <t>未开始</t>
        </is>
      </c>
      <c r="AD43" s="51">
        <f>IF($H43&lt;$G43,0,$F43/($H43-$G43+1))</f>
        <v/>
      </c>
    </row>
    <row r="44">
      <c r="A44" s="74" t="inlineStr">
        <is>
          <t>D2</t>
        </is>
      </c>
      <c r="B44" s="74" t="n">
        <v>41</v>
      </c>
      <c r="C44" s="41" t="inlineStr">
        <is>
          <t>部署 PgBouncer / RDS 代理并落地连接数预算</t>
        </is>
      </c>
      <c r="D44" s="74" t="inlineStr">
        <is>
          <t>人员B</t>
        </is>
      </c>
      <c r="E44" s="41" t="inlineStr">
        <is>
          <t>4,13</t>
        </is>
      </c>
      <c r="F44" s="51" t="n">
        <v>3</v>
      </c>
      <c r="G44" s="51" t="n">
        <v>4</v>
      </c>
      <c r="H44" s="51" t="n">
        <v>4</v>
      </c>
      <c r="I44" s="83">
        <f>说明与总览!$B$21+VALUE(MID($A44,2,1))-1</f>
        <v/>
      </c>
      <c r="J44" s="51">
        <f>IF(AND($G44&lt;=1,$H44&gt;=1),"■■","")</f>
        <v/>
      </c>
      <c r="K44" s="51">
        <f>IF(AND($G44&lt;=2,$H44&gt;=2),"■■","")</f>
        <v/>
      </c>
      <c r="L44" s="51">
        <f>IF(AND($G44&lt;=3,$H44&gt;=3),"■■","")</f>
        <v/>
      </c>
      <c r="M44" s="51">
        <f>IF(AND($G44&lt;=4,$H44&gt;=4),"■■","")</f>
        <v/>
      </c>
      <c r="N44" s="51">
        <f>IF(AND($G44&lt;=5,$H44&gt;=5),"■■","")</f>
        <v/>
      </c>
      <c r="O44" s="51">
        <f>IF(AND($G44&lt;=6,$H44&gt;=6),"■■","")</f>
        <v/>
      </c>
      <c r="P44" s="51">
        <f>IF(AND($G44&lt;=7,$H44&gt;=7),"■■","")</f>
        <v/>
      </c>
      <c r="Q44" s="51">
        <f>IF(AND($G44&lt;=8,$H44&gt;=8),"■■","")</f>
        <v/>
      </c>
      <c r="R44" s="51">
        <f>IF(AND($G44&lt;=9,$H44&gt;=9),"■■","")</f>
        <v/>
      </c>
      <c r="S44" s="51">
        <f>IF(AND($G44&lt;=10,$H44&gt;=10),"■■","")</f>
        <v/>
      </c>
      <c r="T44" s="51">
        <f>IF(AND($G44&lt;=11,$H44&gt;=11),"■■","")</f>
        <v/>
      </c>
      <c r="U44" s="51">
        <f>IF(AND($G44&lt;=12,$H44&gt;=12),"■■","")</f>
        <v/>
      </c>
      <c r="V44" s="51">
        <f>IF(AND($G44&lt;=13,$H44&gt;=13),"■■","")</f>
        <v/>
      </c>
      <c r="W44" s="51">
        <f>IF(AND($G44&lt;=14,$H44&gt;=14),"■■","")</f>
        <v/>
      </c>
      <c r="X44" s="51">
        <f>IF(AND($G44&lt;=15,$H44&gt;=15),"■■","")</f>
        <v/>
      </c>
      <c r="Y44" s="51">
        <f>IF(AND($G44&lt;=16,$H44&gt;=16),"■■","")</f>
        <v/>
      </c>
      <c r="Z44" s="51">
        <f>IF(AND($G44&lt;=17,$H44&gt;=17),"■■","")</f>
        <v/>
      </c>
      <c r="AA44" s="51">
        <f>IF(AND($G44&lt;=18,$H44&gt;=18),"■■","")</f>
        <v/>
      </c>
      <c r="AB44" s="41" t="inlineStr">
        <is>
          <t>cl_waiting 无持续堆积；PG 实际连接数 ≤ max_connections × 0.8</t>
        </is>
      </c>
      <c r="AC44" s="41" t="inlineStr">
        <is>
          <t>未开始</t>
        </is>
      </c>
      <c r="AD44" s="51">
        <f>IF($H44&lt;$G44,0,$F44/($H44-$G44+1))</f>
        <v/>
      </c>
    </row>
    <row r="45">
      <c r="A45" s="74" t="inlineStr">
        <is>
          <t>D6</t>
        </is>
      </c>
      <c r="B45" s="74" t="n">
        <v>42</v>
      </c>
      <c r="C45" s="41" t="inlineStr">
        <is>
          <t>部署 cluster-autoscaler 并配置主站 / 备 region 节点池自动伸缩</t>
        </is>
      </c>
      <c r="D45" s="74" t="inlineStr">
        <is>
          <t>人员A</t>
        </is>
      </c>
      <c r="E45" s="41" t="inlineStr">
        <is>
          <t>10,11,24</t>
        </is>
      </c>
      <c r="F45" s="51" t="n">
        <v>2</v>
      </c>
      <c r="G45" s="51" t="n">
        <v>12</v>
      </c>
      <c r="H45" s="51" t="n">
        <v>12</v>
      </c>
      <c r="I45" s="83">
        <f>说明与总览!$B$21+VALUE(MID($A45,2,1))-1</f>
        <v/>
      </c>
      <c r="J45" s="51">
        <f>IF(AND($G45&lt;=1,$H45&gt;=1),"■■","")</f>
        <v/>
      </c>
      <c r="K45" s="51">
        <f>IF(AND($G45&lt;=2,$H45&gt;=2),"■■","")</f>
        <v/>
      </c>
      <c r="L45" s="51">
        <f>IF(AND($G45&lt;=3,$H45&gt;=3),"■■","")</f>
        <v/>
      </c>
      <c r="M45" s="51">
        <f>IF(AND($G45&lt;=4,$H45&gt;=4),"■■","")</f>
        <v/>
      </c>
      <c r="N45" s="51">
        <f>IF(AND($G45&lt;=5,$H45&gt;=5),"■■","")</f>
        <v/>
      </c>
      <c r="O45" s="51">
        <f>IF(AND($G45&lt;=6,$H45&gt;=6),"■■","")</f>
        <v/>
      </c>
      <c r="P45" s="51">
        <f>IF(AND($G45&lt;=7,$H45&gt;=7),"■■","")</f>
        <v/>
      </c>
      <c r="Q45" s="51">
        <f>IF(AND($G45&lt;=8,$H45&gt;=8),"■■","")</f>
        <v/>
      </c>
      <c r="R45" s="51">
        <f>IF(AND($G45&lt;=9,$H45&gt;=9),"■■","")</f>
        <v/>
      </c>
      <c r="S45" s="51">
        <f>IF(AND($G45&lt;=10,$H45&gt;=10),"■■","")</f>
        <v/>
      </c>
      <c r="T45" s="51">
        <f>IF(AND($G45&lt;=11,$H45&gt;=11),"■■","")</f>
        <v/>
      </c>
      <c r="U45" s="51">
        <f>IF(AND($G45&lt;=12,$H45&gt;=12),"■■","")</f>
        <v/>
      </c>
      <c r="V45" s="51">
        <f>IF(AND($G45&lt;=13,$H45&gt;=13),"■■","")</f>
        <v/>
      </c>
      <c r="W45" s="51">
        <f>IF(AND($G45&lt;=14,$H45&gt;=14),"■■","")</f>
        <v/>
      </c>
      <c r="X45" s="51">
        <f>IF(AND($G45&lt;=15,$H45&gt;=15),"■■","")</f>
        <v/>
      </c>
      <c r="Y45" s="51">
        <f>IF(AND($G45&lt;=16,$H45&gt;=16),"■■","")</f>
        <v/>
      </c>
      <c r="Z45" s="51">
        <f>IF(AND($G45&lt;=17,$H45&gt;=17),"■■","")</f>
        <v/>
      </c>
      <c r="AA45" s="51">
        <f>IF(AND($G45&lt;=18,$H45&gt;=18),"■■","")</f>
        <v/>
      </c>
      <c r="AB45" s="41" t="inlineStr">
        <is>
          <t>HPA 扩到上限时节点可自动扩容，无 Pod Pending</t>
        </is>
      </c>
      <c r="AC45" s="41" t="inlineStr">
        <is>
          <t>未开始</t>
        </is>
      </c>
      <c r="AD45" s="51">
        <f>IF($H45&lt;$G45,0,$F45/($H45-$G45+1))</f>
        <v/>
      </c>
    </row>
    <row r="46">
      <c r="A46" s="74" t="inlineStr">
        <is>
          <t>D7</t>
        </is>
      </c>
      <c r="B46" s="74" t="n">
        <v>43</v>
      </c>
      <c r="C46" s="41" t="inlineStr">
        <is>
          <t>主站 HPA 4–16 落地 + 探针与单实例容量基线</t>
        </is>
      </c>
      <c r="D46" s="74" t="inlineStr">
        <is>
          <t>人员B</t>
        </is>
      </c>
      <c r="E46" s="41" t="inlineStr">
        <is>
          <t>23</t>
        </is>
      </c>
      <c r="F46" s="51" t="n">
        <v>3</v>
      </c>
      <c r="G46" s="51" t="n">
        <v>14</v>
      </c>
      <c r="H46" s="51" t="n">
        <v>14</v>
      </c>
      <c r="I46" s="83">
        <f>说明与总览!$B$21+VALUE(MID($A46,2,1))-1</f>
        <v/>
      </c>
      <c r="J46" s="51">
        <f>IF(AND($G46&lt;=1,$H46&gt;=1),"■■","")</f>
        <v/>
      </c>
      <c r="K46" s="51">
        <f>IF(AND($G46&lt;=2,$H46&gt;=2),"■■","")</f>
        <v/>
      </c>
      <c r="L46" s="51">
        <f>IF(AND($G46&lt;=3,$H46&gt;=3),"■■","")</f>
        <v/>
      </c>
      <c r="M46" s="51">
        <f>IF(AND($G46&lt;=4,$H46&gt;=4),"■■","")</f>
        <v/>
      </c>
      <c r="N46" s="51">
        <f>IF(AND($G46&lt;=5,$H46&gt;=5),"■■","")</f>
        <v/>
      </c>
      <c r="O46" s="51">
        <f>IF(AND($G46&lt;=6,$H46&gt;=6),"■■","")</f>
        <v/>
      </c>
      <c r="P46" s="51">
        <f>IF(AND($G46&lt;=7,$H46&gt;=7),"■■","")</f>
        <v/>
      </c>
      <c r="Q46" s="51">
        <f>IF(AND($G46&lt;=8,$H46&gt;=8),"■■","")</f>
        <v/>
      </c>
      <c r="R46" s="51">
        <f>IF(AND($G46&lt;=9,$H46&gt;=9),"■■","")</f>
        <v/>
      </c>
      <c r="S46" s="51">
        <f>IF(AND($G46&lt;=10,$H46&gt;=10),"■■","")</f>
        <v/>
      </c>
      <c r="T46" s="51">
        <f>IF(AND($G46&lt;=11,$H46&gt;=11),"■■","")</f>
        <v/>
      </c>
      <c r="U46" s="51">
        <f>IF(AND($G46&lt;=12,$H46&gt;=12),"■■","")</f>
        <v/>
      </c>
      <c r="V46" s="51">
        <f>IF(AND($G46&lt;=13,$H46&gt;=13),"■■","")</f>
        <v/>
      </c>
      <c r="W46" s="51">
        <f>IF(AND($G46&lt;=14,$H46&gt;=14),"■■","")</f>
        <v/>
      </c>
      <c r="X46" s="51">
        <f>IF(AND($G46&lt;=15,$H46&gt;=15),"■■","")</f>
        <v/>
      </c>
      <c r="Y46" s="51">
        <f>IF(AND($G46&lt;=16,$H46&gt;=16),"■■","")</f>
        <v/>
      </c>
      <c r="Z46" s="51">
        <f>IF(AND($G46&lt;=17,$H46&gt;=17),"■■","")</f>
        <v/>
      </c>
      <c r="AA46" s="51">
        <f>IF(AND($G46&lt;=18,$H46&gt;=18),"■■","")</f>
        <v/>
      </c>
      <c r="AB46" s="41" t="inlineStr">
        <is>
          <t>单实例基线可复现；/healthz、/readyz 探针指向正确</t>
        </is>
      </c>
      <c r="AC46" s="41" t="inlineStr">
        <is>
          <t>未开始</t>
        </is>
      </c>
      <c r="AD46" s="51">
        <f>IF($H46&lt;$G46,0,$F46/($H46-$G46+1))</f>
        <v/>
      </c>
    </row>
    <row r="47">
      <c r="A47" s="74" t="inlineStr">
        <is>
          <t>D7</t>
        </is>
      </c>
      <c r="B47" s="74" t="n">
        <v>44</v>
      </c>
      <c r="C47" s="41" t="inlineStr">
        <is>
          <t>备 region HPA 2–24 落地 + 1.5× 接管容量验证</t>
        </is>
      </c>
      <c r="D47" s="74" t="inlineStr">
        <is>
          <t>人员A</t>
        </is>
      </c>
      <c r="E47" s="41" t="inlineStr">
        <is>
          <t>24,25,42</t>
        </is>
      </c>
      <c r="F47" s="51" t="n">
        <v>3</v>
      </c>
      <c r="G47" s="51" t="n">
        <v>13</v>
      </c>
      <c r="H47" s="51" t="n">
        <v>13</v>
      </c>
      <c r="I47" s="83">
        <f>说明与总览!$B$21+VALUE(MID($A47,2,1))-1</f>
        <v/>
      </c>
      <c r="J47" s="51">
        <f>IF(AND($G47&lt;=1,$H47&gt;=1),"■■","")</f>
        <v/>
      </c>
      <c r="K47" s="51">
        <f>IF(AND($G47&lt;=2,$H47&gt;=2),"■■","")</f>
        <v/>
      </c>
      <c r="L47" s="51">
        <f>IF(AND($G47&lt;=3,$H47&gt;=3),"■■","")</f>
        <v/>
      </c>
      <c r="M47" s="51">
        <f>IF(AND($G47&lt;=4,$H47&gt;=4),"■■","")</f>
        <v/>
      </c>
      <c r="N47" s="51">
        <f>IF(AND($G47&lt;=5,$H47&gt;=5),"■■","")</f>
        <v/>
      </c>
      <c r="O47" s="51">
        <f>IF(AND($G47&lt;=6,$H47&gt;=6),"■■","")</f>
        <v/>
      </c>
      <c r="P47" s="51">
        <f>IF(AND($G47&lt;=7,$H47&gt;=7),"■■","")</f>
        <v/>
      </c>
      <c r="Q47" s="51">
        <f>IF(AND($G47&lt;=8,$H47&gt;=8),"■■","")</f>
        <v/>
      </c>
      <c r="R47" s="51">
        <f>IF(AND($G47&lt;=9,$H47&gt;=9),"■■","")</f>
        <v/>
      </c>
      <c r="S47" s="51">
        <f>IF(AND($G47&lt;=10,$H47&gt;=10),"■■","")</f>
        <v/>
      </c>
      <c r="T47" s="51">
        <f>IF(AND($G47&lt;=11,$H47&gt;=11),"■■","")</f>
        <v/>
      </c>
      <c r="U47" s="51">
        <f>IF(AND($G47&lt;=12,$H47&gt;=12),"■■","")</f>
        <v/>
      </c>
      <c r="V47" s="51">
        <f>IF(AND($G47&lt;=13,$H47&gt;=13),"■■","")</f>
        <v/>
      </c>
      <c r="W47" s="51">
        <f>IF(AND($G47&lt;=14,$H47&gt;=14),"■■","")</f>
        <v/>
      </c>
      <c r="X47" s="51">
        <f>IF(AND($G47&lt;=15,$H47&gt;=15),"■■","")</f>
        <v/>
      </c>
      <c r="Y47" s="51">
        <f>IF(AND($G47&lt;=16,$H47&gt;=16),"■■","")</f>
        <v/>
      </c>
      <c r="Z47" s="51">
        <f>IF(AND($G47&lt;=17,$H47&gt;=17),"■■","")</f>
        <v/>
      </c>
      <c r="AA47" s="51">
        <f>IF(AND($G47&lt;=18,$H47&gt;=18),"■■","")</f>
        <v/>
      </c>
      <c r="AB47" s="41" t="inlineStr">
        <is>
          <t>备 region 扩到 24 副本并压到 1.5× 主站峰值，成功率不降</t>
        </is>
      </c>
      <c r="AC47" s="41" t="inlineStr">
        <is>
          <t>未开始</t>
        </is>
      </c>
      <c r="AD47" s="51">
        <f>IF($H47&lt;$G47,0,$F47/($H47-$G47+1))</f>
        <v/>
      </c>
    </row>
    <row r="48">
      <c r="A48" s="74" t="inlineStr">
        <is>
          <t>D4</t>
        </is>
      </c>
      <c r="B48" s="74" t="n">
        <v>45</v>
      </c>
      <c r="C48" s="41" t="inlineStr">
        <is>
          <t>搭建 staging / perf 环境并跑通三数据库矩阵</t>
        </is>
      </c>
      <c r="D48" s="74" t="inlineStr">
        <is>
          <t>人员A</t>
        </is>
      </c>
      <c r="E48" s="41" t="inlineStr">
        <is>
          <t>16,10</t>
        </is>
      </c>
      <c r="F48" s="51" t="n">
        <v>4</v>
      </c>
      <c r="G48" s="51" t="n">
        <v>8</v>
      </c>
      <c r="H48" s="51" t="n">
        <v>8</v>
      </c>
      <c r="I48" s="83">
        <f>说明与总览!$B$21+VALUE(MID($A48,2,1))-1</f>
        <v/>
      </c>
      <c r="J48" s="51">
        <f>IF(AND($G48&lt;=1,$H48&gt;=1),"■■","")</f>
        <v/>
      </c>
      <c r="K48" s="51">
        <f>IF(AND($G48&lt;=2,$H48&gt;=2),"■■","")</f>
        <v/>
      </c>
      <c r="L48" s="51">
        <f>IF(AND($G48&lt;=3,$H48&gt;=3),"■■","")</f>
        <v/>
      </c>
      <c r="M48" s="51">
        <f>IF(AND($G48&lt;=4,$H48&gt;=4),"■■","")</f>
        <v/>
      </c>
      <c r="N48" s="51">
        <f>IF(AND($G48&lt;=5,$H48&gt;=5),"■■","")</f>
        <v/>
      </c>
      <c r="O48" s="51">
        <f>IF(AND($G48&lt;=6,$H48&gt;=6),"■■","")</f>
        <v/>
      </c>
      <c r="P48" s="51">
        <f>IF(AND($G48&lt;=7,$H48&gt;=7),"■■","")</f>
        <v/>
      </c>
      <c r="Q48" s="51">
        <f>IF(AND($G48&lt;=8,$H48&gt;=8),"■■","")</f>
        <v/>
      </c>
      <c r="R48" s="51">
        <f>IF(AND($G48&lt;=9,$H48&gt;=9),"■■","")</f>
        <v/>
      </c>
      <c r="S48" s="51">
        <f>IF(AND($G48&lt;=10,$H48&gt;=10),"■■","")</f>
        <v/>
      </c>
      <c r="T48" s="51">
        <f>IF(AND($G48&lt;=11,$H48&gt;=11),"■■","")</f>
        <v/>
      </c>
      <c r="U48" s="51">
        <f>IF(AND($G48&lt;=12,$H48&gt;=12),"■■","")</f>
        <v/>
      </c>
      <c r="V48" s="51">
        <f>IF(AND($G48&lt;=13,$H48&gt;=13),"■■","")</f>
        <v/>
      </c>
      <c r="W48" s="51">
        <f>IF(AND($G48&lt;=14,$H48&gt;=14),"■■","")</f>
        <v/>
      </c>
      <c r="X48" s="51">
        <f>IF(AND($G48&lt;=15,$H48&gt;=15),"■■","")</f>
        <v/>
      </c>
      <c r="Y48" s="51">
        <f>IF(AND($G48&lt;=16,$H48&gt;=16),"■■","")</f>
        <v/>
      </c>
      <c r="Z48" s="51">
        <f>IF(AND($G48&lt;=17,$H48&gt;=17),"■■","")</f>
        <v/>
      </c>
      <c r="AA48" s="51">
        <f>IF(AND($G48&lt;=18,$H48&gt;=18),"■■","")</f>
        <v/>
      </c>
      <c r="AB48" s="41" t="inlineStr">
        <is>
          <t>三数据库矩阵（SQLite / MySQL / PG）用例通过，压测矩阵可执行</t>
        </is>
      </c>
      <c r="AC48" s="41" t="inlineStr">
        <is>
          <t>未开始</t>
        </is>
      </c>
      <c r="AD48" s="51">
        <f>IF($H48&lt;$G48,0,$F48/($H48-$G48+1))</f>
        <v/>
      </c>
    </row>
    <row r="49">
      <c r="A49" s="74" t="inlineStr">
        <is>
          <t>D5</t>
        </is>
      </c>
      <c r="B49" s="74" t="n">
        <v>46</v>
      </c>
      <c r="C49" s="41" t="inlineStr">
        <is>
          <t>运维访问面：kubeconfig + RAM→RBAC + API Server 私网端点 + 堡垒机/VPN + 变更审批</t>
        </is>
      </c>
      <c r="D49" s="74" t="inlineStr">
        <is>
          <t>人员A</t>
        </is>
      </c>
      <c r="E49" s="41" t="inlineStr">
        <is>
          <t>10</t>
        </is>
      </c>
      <c r="F49" s="51" t="n">
        <v>3</v>
      </c>
      <c r="G49" s="51" t="n">
        <v>9</v>
      </c>
      <c r="H49" s="51" t="n">
        <v>9</v>
      </c>
      <c r="I49" s="83">
        <f>说明与总览!$B$21+VALUE(MID($A49,2,1))-1</f>
        <v/>
      </c>
      <c r="J49" s="51">
        <f>IF(AND($G49&lt;=1,$H49&gt;=1),"■■","")</f>
        <v/>
      </c>
      <c r="K49" s="51">
        <f>IF(AND($G49&lt;=2,$H49&gt;=2),"■■","")</f>
        <v/>
      </c>
      <c r="L49" s="51">
        <f>IF(AND($G49&lt;=3,$H49&gt;=3),"■■","")</f>
        <v/>
      </c>
      <c r="M49" s="51">
        <f>IF(AND($G49&lt;=4,$H49&gt;=4),"■■","")</f>
        <v/>
      </c>
      <c r="N49" s="51">
        <f>IF(AND($G49&lt;=5,$H49&gt;=5),"■■","")</f>
        <v/>
      </c>
      <c r="O49" s="51">
        <f>IF(AND($G49&lt;=6,$H49&gt;=6),"■■","")</f>
        <v/>
      </c>
      <c r="P49" s="51">
        <f>IF(AND($G49&lt;=7,$H49&gt;=7),"■■","")</f>
        <v/>
      </c>
      <c r="Q49" s="51">
        <f>IF(AND($G49&lt;=8,$H49&gt;=8),"■■","")</f>
        <v/>
      </c>
      <c r="R49" s="51">
        <f>IF(AND($G49&lt;=9,$H49&gt;=9),"■■","")</f>
        <v/>
      </c>
      <c r="S49" s="51">
        <f>IF(AND($G49&lt;=10,$H49&gt;=10),"■■","")</f>
        <v/>
      </c>
      <c r="T49" s="51">
        <f>IF(AND($G49&lt;=11,$H49&gt;=11),"■■","")</f>
        <v/>
      </c>
      <c r="U49" s="51">
        <f>IF(AND($G49&lt;=12,$H49&gt;=12),"■■","")</f>
        <v/>
      </c>
      <c r="V49" s="51">
        <f>IF(AND($G49&lt;=13,$H49&gt;=13),"■■","")</f>
        <v/>
      </c>
      <c r="W49" s="51">
        <f>IF(AND($G49&lt;=14,$H49&gt;=14),"■■","")</f>
        <v/>
      </c>
      <c r="X49" s="51">
        <f>IF(AND($G49&lt;=15,$H49&gt;=15),"■■","")</f>
        <v/>
      </c>
      <c r="Y49" s="51">
        <f>IF(AND($G49&lt;=16,$H49&gt;=16),"■■","")</f>
        <v/>
      </c>
      <c r="Z49" s="51">
        <f>IF(AND($G49&lt;=17,$H49&gt;=17),"■■","")</f>
        <v/>
      </c>
      <c r="AA49" s="51">
        <f>IF(AND($G49&lt;=18,$H49&gt;=18),"■■","")</f>
        <v/>
      </c>
      <c r="AB49" s="41" t="inlineStr">
        <is>
          <t>kubeconfig 分发完成，API Server 未暴露公网，变更审批路径可用</t>
        </is>
      </c>
      <c r="AC49" s="41" t="inlineStr">
        <is>
          <t>未开始</t>
        </is>
      </c>
      <c r="AD49" s="51">
        <f>IF($H49&lt;$G49,0,$F49/($H49-$G49+1))</f>
        <v/>
      </c>
    </row>
    <row r="50">
      <c r="A50" s="74" t="inlineStr">
        <is>
          <t>D7</t>
        </is>
      </c>
      <c r="B50" s="74" t="n">
        <v>47</v>
      </c>
      <c r="C50" s="41" t="inlineStr">
        <is>
          <t>ALB 安全组源收敛为 WAF/DCDN 回源段 + SNI 域名校验</t>
        </is>
      </c>
      <c r="D50" s="74" t="inlineStr">
        <is>
          <t>人员A</t>
        </is>
      </c>
      <c r="E50" s="41" t="inlineStr">
        <is>
          <t>22</t>
        </is>
      </c>
      <c r="F50" s="51" t="n">
        <v>1</v>
      </c>
      <c r="G50" s="51" t="n">
        <v>14</v>
      </c>
      <c r="H50" s="51" t="n">
        <v>14</v>
      </c>
      <c r="I50" s="83">
        <f>说明与总览!$B$21+VALUE(MID($A50,2,1))-1</f>
        <v/>
      </c>
      <c r="J50" s="51">
        <f>IF(AND($G50&lt;=1,$H50&gt;=1),"■■","")</f>
        <v/>
      </c>
      <c r="K50" s="51">
        <f>IF(AND($G50&lt;=2,$H50&gt;=2),"■■","")</f>
        <v/>
      </c>
      <c r="L50" s="51">
        <f>IF(AND($G50&lt;=3,$H50&gt;=3),"■■","")</f>
        <v/>
      </c>
      <c r="M50" s="51">
        <f>IF(AND($G50&lt;=4,$H50&gt;=4),"■■","")</f>
        <v/>
      </c>
      <c r="N50" s="51">
        <f>IF(AND($G50&lt;=5,$H50&gt;=5),"■■","")</f>
        <v/>
      </c>
      <c r="O50" s="51">
        <f>IF(AND($G50&lt;=6,$H50&gt;=6),"■■","")</f>
        <v/>
      </c>
      <c r="P50" s="51">
        <f>IF(AND($G50&lt;=7,$H50&gt;=7),"■■","")</f>
        <v/>
      </c>
      <c r="Q50" s="51">
        <f>IF(AND($G50&lt;=8,$H50&gt;=8),"■■","")</f>
        <v/>
      </c>
      <c r="R50" s="51">
        <f>IF(AND($G50&lt;=9,$H50&gt;=9),"■■","")</f>
        <v/>
      </c>
      <c r="S50" s="51">
        <f>IF(AND($G50&lt;=10,$H50&gt;=10),"■■","")</f>
        <v/>
      </c>
      <c r="T50" s="51">
        <f>IF(AND($G50&lt;=11,$H50&gt;=11),"■■","")</f>
        <v/>
      </c>
      <c r="U50" s="51">
        <f>IF(AND($G50&lt;=12,$H50&gt;=12),"■■","")</f>
        <v/>
      </c>
      <c r="V50" s="51">
        <f>IF(AND($G50&lt;=13,$H50&gt;=13),"■■","")</f>
        <v/>
      </c>
      <c r="W50" s="51">
        <f>IF(AND($G50&lt;=14,$H50&gt;=14),"■■","")</f>
        <v/>
      </c>
      <c r="X50" s="51">
        <f>IF(AND($G50&lt;=15,$H50&gt;=15),"■■","")</f>
        <v/>
      </c>
      <c r="Y50" s="51">
        <f>IF(AND($G50&lt;=16,$H50&gt;=16),"■■","")</f>
        <v/>
      </c>
      <c r="Z50" s="51">
        <f>IF(AND($G50&lt;=17,$H50&gt;=17),"■■","")</f>
        <v/>
      </c>
      <c r="AA50" s="51">
        <f>IF(AND($G50&lt;=18,$H50&gt;=18),"■■","")</f>
        <v/>
      </c>
      <c r="AB50" s="41" t="inlineStr">
        <is>
          <t>ALB 入向仅放行 WAF/DCDN 回源段，直连公网 IP 不可达</t>
        </is>
      </c>
      <c r="AC50" s="41" t="inlineStr">
        <is>
          <t>未开始</t>
        </is>
      </c>
      <c r="AD50" s="51">
        <f>IF($H50&lt;$G50,0,$F50/($H50-$G50+1))</f>
        <v/>
      </c>
    </row>
    <row r="51">
      <c r="A51" s="74" t="inlineStr">
        <is>
          <t>D6</t>
        </is>
      </c>
      <c r="B51" s="74" t="n">
        <v>48</v>
      </c>
      <c r="C51" s="41" t="inlineStr">
        <is>
          <t>支付回调源 IP 白名单 + 签名校验验证</t>
        </is>
      </c>
      <c r="D51" s="74" t="inlineStr">
        <is>
          <t>人员B</t>
        </is>
      </c>
      <c r="E51" s="41" t="inlineStr">
        <is>
          <t>20,22</t>
        </is>
      </c>
      <c r="F51" s="51" t="n">
        <v>1</v>
      </c>
      <c r="G51" s="51" t="n">
        <v>12</v>
      </c>
      <c r="H51" s="51" t="n">
        <v>12</v>
      </c>
      <c r="I51" s="83">
        <f>说明与总览!$B$21+VALUE(MID($A51,2,1))-1</f>
        <v/>
      </c>
      <c r="J51" s="51">
        <f>IF(AND($G51&lt;=1,$H51&gt;=1),"■■","")</f>
        <v/>
      </c>
      <c r="K51" s="51">
        <f>IF(AND($G51&lt;=2,$H51&gt;=2),"■■","")</f>
        <v/>
      </c>
      <c r="L51" s="51">
        <f>IF(AND($G51&lt;=3,$H51&gt;=3),"■■","")</f>
        <v/>
      </c>
      <c r="M51" s="51">
        <f>IF(AND($G51&lt;=4,$H51&gt;=4),"■■","")</f>
        <v/>
      </c>
      <c r="N51" s="51">
        <f>IF(AND($G51&lt;=5,$H51&gt;=5),"■■","")</f>
        <v/>
      </c>
      <c r="O51" s="51">
        <f>IF(AND($G51&lt;=6,$H51&gt;=6),"■■","")</f>
        <v/>
      </c>
      <c r="P51" s="51">
        <f>IF(AND($G51&lt;=7,$H51&gt;=7),"■■","")</f>
        <v/>
      </c>
      <c r="Q51" s="51">
        <f>IF(AND($G51&lt;=8,$H51&gt;=8),"■■","")</f>
        <v/>
      </c>
      <c r="R51" s="51">
        <f>IF(AND($G51&lt;=9,$H51&gt;=9),"■■","")</f>
        <v/>
      </c>
      <c r="S51" s="51">
        <f>IF(AND($G51&lt;=10,$H51&gt;=10),"■■","")</f>
        <v/>
      </c>
      <c r="T51" s="51">
        <f>IF(AND($G51&lt;=11,$H51&gt;=11),"■■","")</f>
        <v/>
      </c>
      <c r="U51" s="51">
        <f>IF(AND($G51&lt;=12,$H51&gt;=12),"■■","")</f>
        <v/>
      </c>
      <c r="V51" s="51">
        <f>IF(AND($G51&lt;=13,$H51&gt;=13),"■■","")</f>
        <v/>
      </c>
      <c r="W51" s="51">
        <f>IF(AND($G51&lt;=14,$H51&gt;=14),"■■","")</f>
        <v/>
      </c>
      <c r="X51" s="51">
        <f>IF(AND($G51&lt;=15,$H51&gt;=15),"■■","")</f>
        <v/>
      </c>
      <c r="Y51" s="51">
        <f>IF(AND($G51&lt;=16,$H51&gt;=16),"■■","")</f>
        <v/>
      </c>
      <c r="Z51" s="51">
        <f>IF(AND($G51&lt;=17,$H51&gt;=17),"■■","")</f>
        <v/>
      </c>
      <c r="AA51" s="51">
        <f>IF(AND($G51&lt;=18,$H51&gt;=18),"■■","")</f>
        <v/>
      </c>
      <c r="AB51" s="41" t="inlineStr">
        <is>
          <t>伪造源 IP 回调被拒，合法回调放行</t>
        </is>
      </c>
      <c r="AC51" s="41" t="inlineStr">
        <is>
          <t>未开始</t>
        </is>
      </c>
      <c r="AD51" s="51">
        <f>IF($H51&lt;$G51,0,$F51/($H51-$G51+1))</f>
        <v/>
      </c>
    </row>
    <row r="52">
      <c r="A52" s="74" t="inlineStr">
        <is>
          <t>D8</t>
        </is>
      </c>
      <c r="B52" s="74" t="n">
        <v>49</v>
      </c>
      <c r="C52" s="41" t="inlineStr">
        <is>
          <t>备 region Tair 预热策略与接管前 warmup 验证</t>
        </is>
      </c>
      <c r="D52" s="74" t="inlineStr">
        <is>
          <t>人员B</t>
        </is>
      </c>
      <c r="E52" s="41" t="inlineStr">
        <is>
          <t>29,30</t>
        </is>
      </c>
      <c r="F52" s="51" t="n">
        <v>2</v>
      </c>
      <c r="G52" s="51" t="n">
        <v>16</v>
      </c>
      <c r="H52" s="51" t="n">
        <v>16</v>
      </c>
      <c r="I52" s="83">
        <f>说明与总览!$B$21+VALUE(MID($A52,2,1))-1</f>
        <v/>
      </c>
      <c r="J52" s="51">
        <f>IF(AND($G52&lt;=1,$H52&gt;=1),"■■","")</f>
        <v/>
      </c>
      <c r="K52" s="51">
        <f>IF(AND($G52&lt;=2,$H52&gt;=2),"■■","")</f>
        <v/>
      </c>
      <c r="L52" s="51">
        <f>IF(AND($G52&lt;=3,$H52&gt;=3),"■■","")</f>
        <v/>
      </c>
      <c r="M52" s="51">
        <f>IF(AND($G52&lt;=4,$H52&gt;=4),"■■","")</f>
        <v/>
      </c>
      <c r="N52" s="51">
        <f>IF(AND($G52&lt;=5,$H52&gt;=5),"■■","")</f>
        <v/>
      </c>
      <c r="O52" s="51">
        <f>IF(AND($G52&lt;=6,$H52&gt;=6),"■■","")</f>
        <v/>
      </c>
      <c r="P52" s="51">
        <f>IF(AND($G52&lt;=7,$H52&gt;=7),"■■","")</f>
        <v/>
      </c>
      <c r="Q52" s="51">
        <f>IF(AND($G52&lt;=8,$H52&gt;=8),"■■","")</f>
        <v/>
      </c>
      <c r="R52" s="51">
        <f>IF(AND($G52&lt;=9,$H52&gt;=9),"■■","")</f>
        <v/>
      </c>
      <c r="S52" s="51">
        <f>IF(AND($G52&lt;=10,$H52&gt;=10),"■■","")</f>
        <v/>
      </c>
      <c r="T52" s="51">
        <f>IF(AND($G52&lt;=11,$H52&gt;=11),"■■","")</f>
        <v/>
      </c>
      <c r="U52" s="51">
        <f>IF(AND($G52&lt;=12,$H52&gt;=12),"■■","")</f>
        <v/>
      </c>
      <c r="V52" s="51">
        <f>IF(AND($G52&lt;=13,$H52&gt;=13),"■■","")</f>
        <v/>
      </c>
      <c r="W52" s="51">
        <f>IF(AND($G52&lt;=14,$H52&gt;=14),"■■","")</f>
        <v/>
      </c>
      <c r="X52" s="51">
        <f>IF(AND($G52&lt;=15,$H52&gt;=15),"■■","")</f>
        <v/>
      </c>
      <c r="Y52" s="51">
        <f>IF(AND($G52&lt;=16,$H52&gt;=16),"■■","")</f>
        <v/>
      </c>
      <c r="Z52" s="51">
        <f>IF(AND($G52&lt;=17,$H52&gt;=17),"■■","")</f>
        <v/>
      </c>
      <c r="AA52" s="51">
        <f>IF(AND($G52&lt;=18,$H52&gt;=18),"■■","")</f>
        <v/>
      </c>
      <c r="AB52" s="41" t="inlineStr">
        <is>
          <t>接管前 warmup 执行完成，令牌缓存命中率恢复至常态</t>
        </is>
      </c>
      <c r="AC52" s="41" t="inlineStr">
        <is>
          <t>未开始</t>
        </is>
      </c>
      <c r="AD52" s="51">
        <f>IF($H52&lt;$G52,0,$F52/($H52-$G52+1))</f>
        <v/>
      </c>
    </row>
    <row r="53">
      <c r="A53" s="74" t="inlineStr">
        <is>
          <t>D3</t>
        </is>
      </c>
      <c r="B53" s="74" t="n">
        <v>50</v>
      </c>
      <c r="C53" s="41" t="inlineStr">
        <is>
          <t>PITR 备份恢复演练（记录 RPO / RTO）</t>
        </is>
      </c>
      <c r="D53" s="74" t="inlineStr">
        <is>
          <t>人员B</t>
        </is>
      </c>
      <c r="E53" s="41" t="inlineStr">
        <is>
          <t>14,9</t>
        </is>
      </c>
      <c r="F53" s="51" t="n">
        <v>3</v>
      </c>
      <c r="G53" s="51" t="n">
        <v>5</v>
      </c>
      <c r="H53" s="51" t="n">
        <v>5</v>
      </c>
      <c r="I53" s="83">
        <f>说明与总览!$B$21+VALUE(MID($A53,2,1))-1</f>
        <v/>
      </c>
      <c r="J53" s="51">
        <f>IF(AND($G53&lt;=1,$H53&gt;=1),"■■","")</f>
        <v/>
      </c>
      <c r="K53" s="51">
        <f>IF(AND($G53&lt;=2,$H53&gt;=2),"■■","")</f>
        <v/>
      </c>
      <c r="L53" s="51">
        <f>IF(AND($G53&lt;=3,$H53&gt;=3),"■■","")</f>
        <v/>
      </c>
      <c r="M53" s="51">
        <f>IF(AND($G53&lt;=4,$H53&gt;=4),"■■","")</f>
        <v/>
      </c>
      <c r="N53" s="51">
        <f>IF(AND($G53&lt;=5,$H53&gt;=5),"■■","")</f>
        <v/>
      </c>
      <c r="O53" s="51">
        <f>IF(AND($G53&lt;=6,$H53&gt;=6),"■■","")</f>
        <v/>
      </c>
      <c r="P53" s="51">
        <f>IF(AND($G53&lt;=7,$H53&gt;=7),"■■","")</f>
        <v/>
      </c>
      <c r="Q53" s="51">
        <f>IF(AND($G53&lt;=8,$H53&gt;=8),"■■","")</f>
        <v/>
      </c>
      <c r="R53" s="51">
        <f>IF(AND($G53&lt;=9,$H53&gt;=9),"■■","")</f>
        <v/>
      </c>
      <c r="S53" s="51">
        <f>IF(AND($G53&lt;=10,$H53&gt;=10),"■■","")</f>
        <v/>
      </c>
      <c r="T53" s="51">
        <f>IF(AND($G53&lt;=11,$H53&gt;=11),"■■","")</f>
        <v/>
      </c>
      <c r="U53" s="51">
        <f>IF(AND($G53&lt;=12,$H53&gt;=12),"■■","")</f>
        <v/>
      </c>
      <c r="V53" s="51">
        <f>IF(AND($G53&lt;=13,$H53&gt;=13),"■■","")</f>
        <v/>
      </c>
      <c r="W53" s="51">
        <f>IF(AND($G53&lt;=14,$H53&gt;=14),"■■","")</f>
        <v/>
      </c>
      <c r="X53" s="51">
        <f>IF(AND($G53&lt;=15,$H53&gt;=15),"■■","")</f>
        <v/>
      </c>
      <c r="Y53" s="51">
        <f>IF(AND($G53&lt;=16,$H53&gt;=16),"■■","")</f>
        <v/>
      </c>
      <c r="Z53" s="51">
        <f>IF(AND($G53&lt;=17,$H53&gt;=17),"■■","")</f>
        <v/>
      </c>
      <c r="AA53" s="51">
        <f>IF(AND($G53&lt;=18,$H53&gt;=18),"■■","")</f>
        <v/>
      </c>
      <c r="AB53" s="41" t="inlineStr">
        <is>
          <t>从备份恢复到新实例成功，RPO/RTO 实测值回填台账</t>
        </is>
      </c>
      <c r="AC53" s="41" t="inlineStr">
        <is>
          <t>未开始</t>
        </is>
      </c>
      <c r="AD53" s="51">
        <f>IF($H53&lt;$G53,0,$F53/($H53-$G53+1))</f>
        <v/>
      </c>
    </row>
    <row r="54">
      <c r="A54" s="74" t="inlineStr">
        <is>
          <t>D8</t>
        </is>
      </c>
      <c r="B54" s="74" t="n">
        <v>51</v>
      </c>
      <c r="C54" s="41" t="inlineStr">
        <is>
          <t>上游渠道 RPM / TPM 配额盘点与限流参数校准</t>
        </is>
      </c>
      <c r="D54" s="74" t="inlineStr">
        <is>
          <t>人员B</t>
        </is>
      </c>
      <c r="E54" s="41" t="inlineStr">
        <is>
          <t>30</t>
        </is>
      </c>
      <c r="F54" s="51" t="n">
        <v>1</v>
      </c>
      <c r="G54" s="51" t="n">
        <v>16</v>
      </c>
      <c r="H54" s="51" t="n">
        <v>16</v>
      </c>
      <c r="I54" s="83">
        <f>说明与总览!$B$21+VALUE(MID($A54,2,1))-1</f>
        <v/>
      </c>
      <c r="J54" s="51">
        <f>IF(AND($G54&lt;=1,$H54&gt;=1),"■■","")</f>
        <v/>
      </c>
      <c r="K54" s="51">
        <f>IF(AND($G54&lt;=2,$H54&gt;=2),"■■","")</f>
        <v/>
      </c>
      <c r="L54" s="51">
        <f>IF(AND($G54&lt;=3,$H54&gt;=3),"■■","")</f>
        <v/>
      </c>
      <c r="M54" s="51">
        <f>IF(AND($G54&lt;=4,$H54&gt;=4),"■■","")</f>
        <v/>
      </c>
      <c r="N54" s="51">
        <f>IF(AND($G54&lt;=5,$H54&gt;=5),"■■","")</f>
        <v/>
      </c>
      <c r="O54" s="51">
        <f>IF(AND($G54&lt;=6,$H54&gt;=6),"■■","")</f>
        <v/>
      </c>
      <c r="P54" s="51">
        <f>IF(AND($G54&lt;=7,$H54&gt;=7),"■■","")</f>
        <v/>
      </c>
      <c r="Q54" s="51">
        <f>IF(AND($G54&lt;=8,$H54&gt;=8),"■■","")</f>
        <v/>
      </c>
      <c r="R54" s="51">
        <f>IF(AND($G54&lt;=9,$H54&gt;=9),"■■","")</f>
        <v/>
      </c>
      <c r="S54" s="51">
        <f>IF(AND($G54&lt;=10,$H54&gt;=10),"■■","")</f>
        <v/>
      </c>
      <c r="T54" s="51">
        <f>IF(AND($G54&lt;=11,$H54&gt;=11),"■■","")</f>
        <v/>
      </c>
      <c r="U54" s="51">
        <f>IF(AND($G54&lt;=12,$H54&gt;=12),"■■","")</f>
        <v/>
      </c>
      <c r="V54" s="51">
        <f>IF(AND($G54&lt;=13,$H54&gt;=13),"■■","")</f>
        <v/>
      </c>
      <c r="W54" s="51">
        <f>IF(AND($G54&lt;=14,$H54&gt;=14),"■■","")</f>
        <v/>
      </c>
      <c r="X54" s="51">
        <f>IF(AND($G54&lt;=15,$H54&gt;=15),"■■","")</f>
        <v/>
      </c>
      <c r="Y54" s="51">
        <f>IF(AND($G54&lt;=16,$H54&gt;=16),"■■","")</f>
        <v/>
      </c>
      <c r="Z54" s="51">
        <f>IF(AND($G54&lt;=17,$H54&gt;=17),"■■","")</f>
        <v/>
      </c>
      <c r="AA54" s="51">
        <f>IF(AND($G54&lt;=18,$H54&gt;=18),"■■","")</f>
        <v/>
      </c>
      <c r="AB54" s="41" t="inlineStr">
        <is>
          <t>各渠道 RPM/TPM 台账完成，限流参数与之对齐</t>
        </is>
      </c>
      <c r="AC54" s="41" t="inlineStr">
        <is>
          <t>未开始</t>
        </is>
      </c>
      <c r="AD54" s="51">
        <f>IF($H54&lt;$G54,0,$F54/($H54-$G54+1))</f>
        <v/>
      </c>
    </row>
    <row r="55">
      <c r="A55" s="74" t="inlineStr">
        <is>
          <t>D6</t>
        </is>
      </c>
      <c r="B55" s="74" t="n">
        <v>52</v>
      </c>
      <c r="C55" s="41" t="inlineStr">
        <is>
          <t>带宽与规格量化（NAT / EIP / ALB LCU）+ 成本量化表</t>
        </is>
      </c>
      <c r="D55" s="74" t="inlineStr">
        <is>
          <t>人员A</t>
        </is>
      </c>
      <c r="E55" s="41" t="inlineStr">
        <is>
          <t>6,26</t>
        </is>
      </c>
      <c r="F55" s="51" t="n">
        <v>1</v>
      </c>
      <c r="G55" s="51" t="n">
        <v>12</v>
      </c>
      <c r="H55" s="51" t="n">
        <v>12</v>
      </c>
      <c r="I55" s="83">
        <f>说明与总览!$B$21+VALUE(MID($A55,2,1))-1</f>
        <v/>
      </c>
      <c r="J55" s="51">
        <f>IF(AND($G55&lt;=1,$H55&gt;=1),"■■","")</f>
        <v/>
      </c>
      <c r="K55" s="51">
        <f>IF(AND($G55&lt;=2,$H55&gt;=2),"■■","")</f>
        <v/>
      </c>
      <c r="L55" s="51">
        <f>IF(AND($G55&lt;=3,$H55&gt;=3),"■■","")</f>
        <v/>
      </c>
      <c r="M55" s="51">
        <f>IF(AND($G55&lt;=4,$H55&gt;=4),"■■","")</f>
        <v/>
      </c>
      <c r="N55" s="51">
        <f>IF(AND($G55&lt;=5,$H55&gt;=5),"■■","")</f>
        <v/>
      </c>
      <c r="O55" s="51">
        <f>IF(AND($G55&lt;=6,$H55&gt;=6),"■■","")</f>
        <v/>
      </c>
      <c r="P55" s="51">
        <f>IF(AND($G55&lt;=7,$H55&gt;=7),"■■","")</f>
        <v/>
      </c>
      <c r="Q55" s="51">
        <f>IF(AND($G55&lt;=8,$H55&gt;=8),"■■","")</f>
        <v/>
      </c>
      <c r="R55" s="51">
        <f>IF(AND($G55&lt;=9,$H55&gt;=9),"■■","")</f>
        <v/>
      </c>
      <c r="S55" s="51">
        <f>IF(AND($G55&lt;=10,$H55&gt;=10),"■■","")</f>
        <v/>
      </c>
      <c r="T55" s="51">
        <f>IF(AND($G55&lt;=11,$H55&gt;=11),"■■","")</f>
        <v/>
      </c>
      <c r="U55" s="51">
        <f>IF(AND($G55&lt;=12,$H55&gt;=12),"■■","")</f>
        <v/>
      </c>
      <c r="V55" s="51">
        <f>IF(AND($G55&lt;=13,$H55&gt;=13),"■■","")</f>
        <v/>
      </c>
      <c r="W55" s="51">
        <f>IF(AND($G55&lt;=14,$H55&gt;=14),"■■","")</f>
        <v/>
      </c>
      <c r="X55" s="51">
        <f>IF(AND($G55&lt;=15,$H55&gt;=15),"■■","")</f>
        <v/>
      </c>
      <c r="Y55" s="51">
        <f>IF(AND($G55&lt;=16,$H55&gt;=16),"■■","")</f>
        <v/>
      </c>
      <c r="Z55" s="51">
        <f>IF(AND($G55&lt;=17,$H55&gt;=17),"■■","")</f>
        <v/>
      </c>
      <c r="AA55" s="51">
        <f>IF(AND($G55&lt;=18,$H55&gt;=18),"■■","")</f>
        <v/>
      </c>
      <c r="AB55" s="41" t="inlineStr">
        <is>
          <t>带宽与 ALB LCU 规格确认，月度成本估算表输出</t>
        </is>
      </c>
      <c r="AC55" s="41" t="inlineStr">
        <is>
          <t>未开始</t>
        </is>
      </c>
      <c r="AD55" s="51">
        <f>IF($H55&lt;$G55,0,$F55/($H55-$G55+1))</f>
        <v/>
      </c>
    </row>
    <row r="56">
      <c r="A56" s="74" t="inlineStr">
        <is>
          <t>D7</t>
        </is>
      </c>
      <c r="B56" s="74" t="n">
        <v>53</v>
      </c>
      <c r="C56" s="41" t="inlineStr">
        <is>
          <t>配置热更新跨节点收敛验证（SYNC_FREQUENCY=30）</t>
        </is>
      </c>
      <c r="D56" s="74" t="inlineStr">
        <is>
          <t>人员B</t>
        </is>
      </c>
      <c r="E56" s="41" t="inlineStr">
        <is>
          <t>23,28</t>
        </is>
      </c>
      <c r="F56" s="51" t="n">
        <v>1</v>
      </c>
      <c r="G56" s="51" t="n">
        <v>14</v>
      </c>
      <c r="H56" s="51" t="n">
        <v>14</v>
      </c>
      <c r="I56" s="83">
        <f>说明与总览!$B$21+VALUE(MID($A56,2,1))-1</f>
        <v/>
      </c>
      <c r="J56" s="51">
        <f>IF(AND($G56&lt;=1,$H56&gt;=1),"■■","")</f>
        <v/>
      </c>
      <c r="K56" s="51">
        <f>IF(AND($G56&lt;=2,$H56&gt;=2),"■■","")</f>
        <v/>
      </c>
      <c r="L56" s="51">
        <f>IF(AND($G56&lt;=3,$H56&gt;=3),"■■","")</f>
        <v/>
      </c>
      <c r="M56" s="51">
        <f>IF(AND($G56&lt;=4,$H56&gt;=4),"■■","")</f>
        <v/>
      </c>
      <c r="N56" s="51">
        <f>IF(AND($G56&lt;=5,$H56&gt;=5),"■■","")</f>
        <v/>
      </c>
      <c r="O56" s="51">
        <f>IF(AND($G56&lt;=6,$H56&gt;=6),"■■","")</f>
        <v/>
      </c>
      <c r="P56" s="51">
        <f>IF(AND($G56&lt;=7,$H56&gt;=7),"■■","")</f>
        <v/>
      </c>
      <c r="Q56" s="51">
        <f>IF(AND($G56&lt;=8,$H56&gt;=8),"■■","")</f>
        <v/>
      </c>
      <c r="R56" s="51">
        <f>IF(AND($G56&lt;=9,$H56&gt;=9),"■■","")</f>
        <v/>
      </c>
      <c r="S56" s="51">
        <f>IF(AND($G56&lt;=10,$H56&gt;=10),"■■","")</f>
        <v/>
      </c>
      <c r="T56" s="51">
        <f>IF(AND($G56&lt;=11,$H56&gt;=11),"■■","")</f>
        <v/>
      </c>
      <c r="U56" s="51">
        <f>IF(AND($G56&lt;=12,$H56&gt;=12),"■■","")</f>
        <v/>
      </c>
      <c r="V56" s="51">
        <f>IF(AND($G56&lt;=13,$H56&gt;=13),"■■","")</f>
        <v/>
      </c>
      <c r="W56" s="51">
        <f>IF(AND($G56&lt;=14,$H56&gt;=14),"■■","")</f>
        <v/>
      </c>
      <c r="X56" s="51">
        <f>IF(AND($G56&lt;=15,$H56&gt;=15),"■■","")</f>
        <v/>
      </c>
      <c r="Y56" s="51">
        <f>IF(AND($G56&lt;=16,$H56&gt;=16),"■■","")</f>
        <v/>
      </c>
      <c r="Z56" s="51">
        <f>IF(AND($G56&lt;=17,$H56&gt;=17),"■■","")</f>
        <v/>
      </c>
      <c r="AA56" s="51">
        <f>IF(AND($G56&lt;=18,$H56&gt;=18),"■■","")</f>
        <v/>
      </c>
      <c r="AB56" s="41" t="inlineStr">
        <is>
          <t>配置变更在 30s × 节点数 内全节点收敛</t>
        </is>
      </c>
      <c r="AC56" s="41" t="inlineStr">
        <is>
          <t>未开始</t>
        </is>
      </c>
      <c r="AD56" s="51">
        <f>IF($H56&lt;$G56,0,$F56/($H56-$G56+1))</f>
        <v/>
      </c>
    </row>
    <row r="57">
      <c r="A57" s="74" t="inlineStr">
        <is>
          <t>D6</t>
        </is>
      </c>
      <c r="B57" s="74" t="n">
        <v>54</v>
      </c>
      <c r="C57" s="41" t="inlineStr">
        <is>
          <t>数据库迁移版本化（golang-migrate）+ expand-contract 回滚验证</t>
        </is>
      </c>
      <c r="D57" s="74" t="inlineStr">
        <is>
          <t>人员B</t>
        </is>
      </c>
      <c r="E57" s="41" t="inlineStr">
        <is>
          <t>18</t>
        </is>
      </c>
      <c r="F57" s="51" t="n">
        <v>2</v>
      </c>
      <c r="G57" s="51" t="n">
        <v>11</v>
      </c>
      <c r="H57" s="51" t="n">
        <v>11</v>
      </c>
      <c r="I57" s="83">
        <f>说明与总览!$B$21+VALUE(MID($A57,2,1))-1</f>
        <v/>
      </c>
      <c r="J57" s="51">
        <f>IF(AND($G57&lt;=1,$H57&gt;=1),"■■","")</f>
        <v/>
      </c>
      <c r="K57" s="51">
        <f>IF(AND($G57&lt;=2,$H57&gt;=2),"■■","")</f>
        <v/>
      </c>
      <c r="L57" s="51">
        <f>IF(AND($G57&lt;=3,$H57&gt;=3),"■■","")</f>
        <v/>
      </c>
      <c r="M57" s="51">
        <f>IF(AND($G57&lt;=4,$H57&gt;=4),"■■","")</f>
        <v/>
      </c>
      <c r="N57" s="51">
        <f>IF(AND($G57&lt;=5,$H57&gt;=5),"■■","")</f>
        <v/>
      </c>
      <c r="O57" s="51">
        <f>IF(AND($G57&lt;=6,$H57&gt;=6),"■■","")</f>
        <v/>
      </c>
      <c r="P57" s="51">
        <f>IF(AND($G57&lt;=7,$H57&gt;=7),"■■","")</f>
        <v/>
      </c>
      <c r="Q57" s="51">
        <f>IF(AND($G57&lt;=8,$H57&gt;=8),"■■","")</f>
        <v/>
      </c>
      <c r="R57" s="51">
        <f>IF(AND($G57&lt;=9,$H57&gt;=9),"■■","")</f>
        <v/>
      </c>
      <c r="S57" s="51">
        <f>IF(AND($G57&lt;=10,$H57&gt;=10),"■■","")</f>
        <v/>
      </c>
      <c r="T57" s="51">
        <f>IF(AND($G57&lt;=11,$H57&gt;=11),"■■","")</f>
        <v/>
      </c>
      <c r="U57" s="51">
        <f>IF(AND($G57&lt;=12,$H57&gt;=12),"■■","")</f>
        <v/>
      </c>
      <c r="V57" s="51">
        <f>IF(AND($G57&lt;=13,$H57&gt;=13),"■■","")</f>
        <v/>
      </c>
      <c r="W57" s="51">
        <f>IF(AND($G57&lt;=14,$H57&gt;=14),"■■","")</f>
        <v/>
      </c>
      <c r="X57" s="51">
        <f>IF(AND($G57&lt;=15,$H57&gt;=15),"■■","")</f>
        <v/>
      </c>
      <c r="Y57" s="51">
        <f>IF(AND($G57&lt;=16,$H57&gt;=16),"■■","")</f>
        <v/>
      </c>
      <c r="Z57" s="51">
        <f>IF(AND($G57&lt;=17,$H57&gt;=17),"■■","")</f>
        <v/>
      </c>
      <c r="AA57" s="51">
        <f>IF(AND($G57&lt;=18,$H57&gt;=18),"■■","")</f>
        <v/>
      </c>
      <c r="AB57" s="41" t="inlineStr">
        <is>
          <t>迁移工具接管 schema 版本，回滚路径验证通过</t>
        </is>
      </c>
      <c r="AC57" s="41" t="inlineStr">
        <is>
          <t>未开始</t>
        </is>
      </c>
      <c r="AD57" s="51">
        <f>IF($H57&lt;$G57,0,$F57/($H57-$G57+1))</f>
        <v/>
      </c>
    </row>
    <row r="58">
      <c r="A58" s="74" t="inlineStr">
        <is>
          <t>D6</t>
        </is>
      </c>
      <c r="B58" s="74" t="n">
        <v>55</v>
      </c>
      <c r="C58" s="41" t="inlineStr">
        <is>
          <t>SESSION_SECRET 双密钥轮换方案与演练</t>
        </is>
      </c>
      <c r="D58" s="74" t="inlineStr">
        <is>
          <t>人员B</t>
        </is>
      </c>
      <c r="E58" s="41" t="inlineStr">
        <is>
          <t>17,28</t>
        </is>
      </c>
      <c r="F58" s="51" t="n">
        <v>1</v>
      </c>
      <c r="G58" s="51" t="n">
        <v>12</v>
      </c>
      <c r="H58" s="51" t="n">
        <v>12</v>
      </c>
      <c r="I58" s="83">
        <f>说明与总览!$B$21+VALUE(MID($A58,2,1))-1</f>
        <v/>
      </c>
      <c r="J58" s="51">
        <f>IF(AND($G58&lt;=1,$H58&gt;=1),"■■","")</f>
        <v/>
      </c>
      <c r="K58" s="51">
        <f>IF(AND($G58&lt;=2,$H58&gt;=2),"■■","")</f>
        <v/>
      </c>
      <c r="L58" s="51">
        <f>IF(AND($G58&lt;=3,$H58&gt;=3),"■■","")</f>
        <v/>
      </c>
      <c r="M58" s="51">
        <f>IF(AND($G58&lt;=4,$H58&gt;=4),"■■","")</f>
        <v/>
      </c>
      <c r="N58" s="51">
        <f>IF(AND($G58&lt;=5,$H58&gt;=5),"■■","")</f>
        <v/>
      </c>
      <c r="O58" s="51">
        <f>IF(AND($G58&lt;=6,$H58&gt;=6),"■■","")</f>
        <v/>
      </c>
      <c r="P58" s="51">
        <f>IF(AND($G58&lt;=7,$H58&gt;=7),"■■","")</f>
        <v/>
      </c>
      <c r="Q58" s="51">
        <f>IF(AND($G58&lt;=8,$H58&gt;=8),"■■","")</f>
        <v/>
      </c>
      <c r="R58" s="51">
        <f>IF(AND($G58&lt;=9,$H58&gt;=9),"■■","")</f>
        <v/>
      </c>
      <c r="S58" s="51">
        <f>IF(AND($G58&lt;=10,$H58&gt;=10),"■■","")</f>
        <v/>
      </c>
      <c r="T58" s="51">
        <f>IF(AND($G58&lt;=11,$H58&gt;=11),"■■","")</f>
        <v/>
      </c>
      <c r="U58" s="51">
        <f>IF(AND($G58&lt;=12,$H58&gt;=12),"■■","")</f>
        <v/>
      </c>
      <c r="V58" s="51">
        <f>IF(AND($G58&lt;=13,$H58&gt;=13),"■■","")</f>
        <v/>
      </c>
      <c r="W58" s="51">
        <f>IF(AND($G58&lt;=14,$H58&gt;=14),"■■","")</f>
        <v/>
      </c>
      <c r="X58" s="51">
        <f>IF(AND($G58&lt;=15,$H58&gt;=15),"■■","")</f>
        <v/>
      </c>
      <c r="Y58" s="51">
        <f>IF(AND($G58&lt;=16,$H58&gt;=16),"■■","")</f>
        <v/>
      </c>
      <c r="Z58" s="51">
        <f>IF(AND($G58&lt;=17,$H58&gt;=17),"■■","")</f>
        <v/>
      </c>
      <c r="AA58" s="51">
        <f>IF(AND($G58&lt;=18,$H58&gt;=18),"■■","")</f>
        <v/>
      </c>
      <c r="AB58" s="41" t="inlineStr">
        <is>
          <t>新旧密钥并存过渡验证通过，轮换期间会话不失效</t>
        </is>
      </c>
      <c r="AC58" s="41" t="inlineStr">
        <is>
          <t>未开始</t>
        </is>
      </c>
      <c r="AD58" s="51">
        <f>IF($H58&lt;$G58,0,$F58/($H58-$G58+1))</f>
        <v/>
      </c>
    </row>
    <row r="59">
      <c r="A59" s="74" t="inlineStr">
        <is>
          <t>D3</t>
        </is>
      </c>
      <c r="B59" s="74" t="n">
        <v>56</v>
      </c>
      <c r="C59" s="41" t="inlineStr">
        <is>
          <t>上游供应商白名单提交与生效确认（马尼拉 + 新加坡 EIP 池）</t>
        </is>
      </c>
      <c r="D59" s="74" t="inlineStr">
        <is>
          <t>人员A</t>
        </is>
      </c>
      <c r="E59" s="41" t="inlineStr">
        <is>
          <t>6,12</t>
        </is>
      </c>
      <c r="F59" s="51" t="n">
        <v>1</v>
      </c>
      <c r="G59" s="51" t="n">
        <v>5</v>
      </c>
      <c r="H59" s="51" t="n">
        <v>5</v>
      </c>
      <c r="I59" s="83">
        <f>说明与总览!$B$21+VALUE(MID($A59,2,1))-1</f>
        <v/>
      </c>
      <c r="J59" s="51">
        <f>IF(AND($G59&lt;=1,$H59&gt;=1),"■■","")</f>
        <v/>
      </c>
      <c r="K59" s="51">
        <f>IF(AND($G59&lt;=2,$H59&gt;=2),"■■","")</f>
        <v/>
      </c>
      <c r="L59" s="51">
        <f>IF(AND($G59&lt;=3,$H59&gt;=3),"■■","")</f>
        <v/>
      </c>
      <c r="M59" s="51">
        <f>IF(AND($G59&lt;=4,$H59&gt;=4),"■■","")</f>
        <v/>
      </c>
      <c r="N59" s="51">
        <f>IF(AND($G59&lt;=5,$H59&gt;=5),"■■","")</f>
        <v/>
      </c>
      <c r="O59" s="51">
        <f>IF(AND($G59&lt;=6,$H59&gt;=6),"■■","")</f>
        <v/>
      </c>
      <c r="P59" s="51">
        <f>IF(AND($G59&lt;=7,$H59&gt;=7),"■■","")</f>
        <v/>
      </c>
      <c r="Q59" s="51">
        <f>IF(AND($G59&lt;=8,$H59&gt;=8),"■■","")</f>
        <v/>
      </c>
      <c r="R59" s="51">
        <f>IF(AND($G59&lt;=9,$H59&gt;=9),"■■","")</f>
        <v/>
      </c>
      <c r="S59" s="51">
        <f>IF(AND($G59&lt;=10,$H59&gt;=10),"■■","")</f>
        <v/>
      </c>
      <c r="T59" s="51">
        <f>IF(AND($G59&lt;=11,$H59&gt;=11),"■■","")</f>
        <v/>
      </c>
      <c r="U59" s="51">
        <f>IF(AND($G59&lt;=12,$H59&gt;=12),"■■","")</f>
        <v/>
      </c>
      <c r="V59" s="51">
        <f>IF(AND($G59&lt;=13,$H59&gt;=13),"■■","")</f>
        <v/>
      </c>
      <c r="W59" s="51">
        <f>IF(AND($G59&lt;=14,$H59&gt;=14),"■■","")</f>
        <v/>
      </c>
      <c r="X59" s="51">
        <f>IF(AND($G59&lt;=15,$H59&gt;=15),"■■","")</f>
        <v/>
      </c>
      <c r="Y59" s="51">
        <f>IF(AND($G59&lt;=16,$H59&gt;=16),"■■","")</f>
        <v/>
      </c>
      <c r="Z59" s="51">
        <f>IF(AND($G59&lt;=17,$H59&gt;=17),"■■","")</f>
        <v/>
      </c>
      <c r="AA59" s="51">
        <f>IF(AND($G59&lt;=18,$H59&gt;=18),"■■","")</f>
        <v/>
      </c>
      <c r="AB59" s="41" t="inlineStr">
        <is>
          <t>8 个 EIP 均已提交并取得供应商生效确认</t>
        </is>
      </c>
      <c r="AC59" s="41" t="inlineStr">
        <is>
          <t>未开始</t>
        </is>
      </c>
      <c r="AD59" s="51">
        <f>IF($H59&lt;$G59,0,$F59/($H59-$G59+1))</f>
        <v/>
      </c>
    </row>
    <row r="61">
      <c r="A61" s="39" t="inlineStr">
        <is>
          <t>人力负荷校验（每时段单人上限 4 人时；数据来自上表「每时段投入」列）</t>
        </is>
      </c>
    </row>
    <row r="62">
      <c r="A62" s="42" t="inlineStr">
        <is>
          <t>时段</t>
        </is>
      </c>
      <c r="J62" s="42" t="inlineStr">
        <is>
          <t>S1</t>
        </is>
      </c>
      <c r="K62" s="42" t="inlineStr">
        <is>
          <t>S2</t>
        </is>
      </c>
      <c r="L62" s="42" t="inlineStr">
        <is>
          <t>S3</t>
        </is>
      </c>
      <c r="M62" s="42" t="inlineStr">
        <is>
          <t>S4</t>
        </is>
      </c>
      <c r="N62" s="42" t="inlineStr">
        <is>
          <t>S5</t>
        </is>
      </c>
      <c r="O62" s="42" t="inlineStr">
        <is>
          <t>S6</t>
        </is>
      </c>
      <c r="P62" s="42" t="inlineStr">
        <is>
          <t>S7</t>
        </is>
      </c>
      <c r="Q62" s="42" t="inlineStr">
        <is>
          <t>S8</t>
        </is>
      </c>
      <c r="R62" s="42" t="inlineStr">
        <is>
          <t>S9</t>
        </is>
      </c>
      <c r="S62" s="42" t="inlineStr">
        <is>
          <t>S10</t>
        </is>
      </c>
      <c r="T62" s="42" t="inlineStr">
        <is>
          <t>S11</t>
        </is>
      </c>
      <c r="U62" s="42" t="inlineStr">
        <is>
          <t>S12</t>
        </is>
      </c>
      <c r="V62" s="42" t="inlineStr">
        <is>
          <t>S13</t>
        </is>
      </c>
      <c r="W62" s="42" t="inlineStr">
        <is>
          <t>S14</t>
        </is>
      </c>
      <c r="X62" s="42" t="inlineStr">
        <is>
          <t>S15</t>
        </is>
      </c>
      <c r="Y62" s="42" t="inlineStr">
        <is>
          <t>S16</t>
        </is>
      </c>
      <c r="Z62" s="42" t="inlineStr">
        <is>
          <t>S17</t>
        </is>
      </c>
      <c r="AA62" s="42" t="inlineStr">
        <is>
          <t>S18</t>
        </is>
      </c>
    </row>
    <row r="63">
      <c r="A63" s="74" t="inlineStr">
        <is>
          <t>人员A</t>
        </is>
      </c>
      <c r="J63" s="51">
        <f>SUMIFS($AD$4:$AD$59,$D$4:$D$59,"人员A",$G$4:$G$59,"&lt;=1",$H$4:$H$59,"&gt;=1")</f>
        <v/>
      </c>
      <c r="K63" s="51">
        <f>SUMIFS($AD$4:$AD$59,$D$4:$D$59,"人员A",$G$4:$G$59,"&lt;=2",$H$4:$H$59,"&gt;=2")</f>
        <v/>
      </c>
      <c r="L63" s="51">
        <f>SUMIFS($AD$4:$AD$59,$D$4:$D$59,"人员A",$G$4:$G$59,"&lt;=3",$H$4:$H$59,"&gt;=3")</f>
        <v/>
      </c>
      <c r="M63" s="51">
        <f>SUMIFS($AD$4:$AD$59,$D$4:$D$59,"人员A",$G$4:$G$59,"&lt;=4",$H$4:$H$59,"&gt;=4")</f>
        <v/>
      </c>
      <c r="N63" s="51">
        <f>SUMIFS($AD$4:$AD$59,$D$4:$D$59,"人员A",$G$4:$G$59,"&lt;=5",$H$4:$H$59,"&gt;=5")</f>
        <v/>
      </c>
      <c r="O63" s="51">
        <f>SUMIFS($AD$4:$AD$59,$D$4:$D$59,"人员A",$G$4:$G$59,"&lt;=6",$H$4:$H$59,"&gt;=6")</f>
        <v/>
      </c>
      <c r="P63" s="51">
        <f>SUMIFS($AD$4:$AD$59,$D$4:$D$59,"人员A",$G$4:$G$59,"&lt;=7",$H$4:$H$59,"&gt;=7")</f>
        <v/>
      </c>
      <c r="Q63" s="51">
        <f>SUMIFS($AD$4:$AD$59,$D$4:$D$59,"人员A",$G$4:$G$59,"&lt;=8",$H$4:$H$59,"&gt;=8")</f>
        <v/>
      </c>
      <c r="R63" s="51">
        <f>SUMIFS($AD$4:$AD$59,$D$4:$D$59,"人员A",$G$4:$G$59,"&lt;=9",$H$4:$H$59,"&gt;=9")</f>
        <v/>
      </c>
      <c r="S63" s="51">
        <f>SUMIFS($AD$4:$AD$59,$D$4:$D$59,"人员A",$G$4:$G$59,"&lt;=10",$H$4:$H$59,"&gt;=10")</f>
        <v/>
      </c>
      <c r="T63" s="51">
        <f>SUMIFS($AD$4:$AD$59,$D$4:$D$59,"人员A",$G$4:$G$59,"&lt;=11",$H$4:$H$59,"&gt;=11")</f>
        <v/>
      </c>
      <c r="U63" s="51">
        <f>SUMIFS($AD$4:$AD$59,$D$4:$D$59,"人员A",$G$4:$G$59,"&lt;=12",$H$4:$H$59,"&gt;=12")</f>
        <v/>
      </c>
      <c r="V63" s="51">
        <f>SUMIFS($AD$4:$AD$59,$D$4:$D$59,"人员A",$G$4:$G$59,"&lt;=13",$H$4:$H$59,"&gt;=13")</f>
        <v/>
      </c>
      <c r="W63" s="51">
        <f>SUMIFS($AD$4:$AD$59,$D$4:$D$59,"人员A",$G$4:$G$59,"&lt;=14",$H$4:$H$59,"&gt;=14")</f>
        <v/>
      </c>
      <c r="X63" s="51">
        <f>SUMIFS($AD$4:$AD$59,$D$4:$D$59,"人员A",$G$4:$G$59,"&lt;=15",$H$4:$H$59,"&gt;=15")</f>
        <v/>
      </c>
      <c r="Y63" s="51">
        <f>SUMIFS($AD$4:$AD$59,$D$4:$D$59,"人员A",$G$4:$G$59,"&lt;=16",$H$4:$H$59,"&gt;=16")</f>
        <v/>
      </c>
      <c r="Z63" s="51">
        <f>SUMIFS($AD$4:$AD$59,$D$4:$D$59,"人员A",$G$4:$G$59,"&lt;=17",$H$4:$H$59,"&gt;=17")</f>
        <v/>
      </c>
      <c r="AA63" s="51">
        <f>SUMIFS($AD$4:$AD$59,$D$4:$D$59,"人员A",$G$4:$G$59,"&lt;=18",$H$4:$H$59,"&gt;=18")</f>
        <v/>
      </c>
    </row>
    <row r="64">
      <c r="A64" s="74" t="inlineStr">
        <is>
          <t>人员B</t>
        </is>
      </c>
      <c r="J64" s="51">
        <f>SUMIFS($AD$4:$AD$59,$D$4:$D$59,"人员B",$G$4:$G$59,"&lt;=1",$H$4:$H$59,"&gt;=1")</f>
        <v/>
      </c>
      <c r="K64" s="51">
        <f>SUMIFS($AD$4:$AD$59,$D$4:$D$59,"人员B",$G$4:$G$59,"&lt;=2",$H$4:$H$59,"&gt;=2")</f>
        <v/>
      </c>
      <c r="L64" s="51">
        <f>SUMIFS($AD$4:$AD$59,$D$4:$D$59,"人员B",$G$4:$G$59,"&lt;=3",$H$4:$H$59,"&gt;=3")</f>
        <v/>
      </c>
      <c r="M64" s="51">
        <f>SUMIFS($AD$4:$AD$59,$D$4:$D$59,"人员B",$G$4:$G$59,"&lt;=4",$H$4:$H$59,"&gt;=4")</f>
        <v/>
      </c>
      <c r="N64" s="51">
        <f>SUMIFS($AD$4:$AD$59,$D$4:$D$59,"人员B",$G$4:$G$59,"&lt;=5",$H$4:$H$59,"&gt;=5")</f>
        <v/>
      </c>
      <c r="O64" s="51">
        <f>SUMIFS($AD$4:$AD$59,$D$4:$D$59,"人员B",$G$4:$G$59,"&lt;=6",$H$4:$H$59,"&gt;=6")</f>
        <v/>
      </c>
      <c r="P64" s="51">
        <f>SUMIFS($AD$4:$AD$59,$D$4:$D$59,"人员B",$G$4:$G$59,"&lt;=7",$H$4:$H$59,"&gt;=7")</f>
        <v/>
      </c>
      <c r="Q64" s="51">
        <f>SUMIFS($AD$4:$AD$59,$D$4:$D$59,"人员B",$G$4:$G$59,"&lt;=8",$H$4:$H$59,"&gt;=8")</f>
        <v/>
      </c>
      <c r="R64" s="51">
        <f>SUMIFS($AD$4:$AD$59,$D$4:$D$59,"人员B",$G$4:$G$59,"&lt;=9",$H$4:$H$59,"&gt;=9")</f>
        <v/>
      </c>
      <c r="S64" s="51">
        <f>SUMIFS($AD$4:$AD$59,$D$4:$D$59,"人员B",$G$4:$G$59,"&lt;=10",$H$4:$H$59,"&gt;=10")</f>
        <v/>
      </c>
      <c r="T64" s="51">
        <f>SUMIFS($AD$4:$AD$59,$D$4:$D$59,"人员B",$G$4:$G$59,"&lt;=11",$H$4:$H$59,"&gt;=11")</f>
        <v/>
      </c>
      <c r="U64" s="51">
        <f>SUMIFS($AD$4:$AD$59,$D$4:$D$59,"人员B",$G$4:$G$59,"&lt;=12",$H$4:$H$59,"&gt;=12")</f>
        <v/>
      </c>
      <c r="V64" s="51">
        <f>SUMIFS($AD$4:$AD$59,$D$4:$D$59,"人员B",$G$4:$G$59,"&lt;=13",$H$4:$H$59,"&gt;=13")</f>
        <v/>
      </c>
      <c r="W64" s="51">
        <f>SUMIFS($AD$4:$AD$59,$D$4:$D$59,"人员B",$G$4:$G$59,"&lt;=14",$H$4:$H$59,"&gt;=14")</f>
        <v/>
      </c>
      <c r="X64" s="51">
        <f>SUMIFS($AD$4:$AD$59,$D$4:$D$59,"人员B",$G$4:$G$59,"&lt;=15",$H$4:$H$59,"&gt;=15")</f>
        <v/>
      </c>
      <c r="Y64" s="51">
        <f>SUMIFS($AD$4:$AD$59,$D$4:$D$59,"人员B",$G$4:$G$59,"&lt;=16",$H$4:$H$59,"&gt;=16")</f>
        <v/>
      </c>
      <c r="Z64" s="51">
        <f>SUMIFS($AD$4:$AD$59,$D$4:$D$59,"人员B",$G$4:$G$59,"&lt;=17",$H$4:$H$59,"&gt;=17")</f>
        <v/>
      </c>
      <c r="AA64" s="51">
        <f>SUMIFS($AD$4:$AD$59,$D$4:$D$59,"人员B",$G$4:$G$59,"&lt;=18",$H$4:$H$59,"&gt;=18")</f>
        <v/>
      </c>
    </row>
    <row r="65">
      <c r="A65" s="76" t="inlineStr">
        <is>
          <t>负荷结论</t>
        </is>
      </c>
      <c r="B65" s="76">
        <f>IF(COUNTIF(J63:AA64,"&gt;4")&gt;0,"存在超载时段，需调整排期","负荷均衡：每人每时段 ≤ 4 人时")</f>
        <v/>
      </c>
    </row>
    <row r="66">
      <c r="A66" s="77" t="inlineStr">
        <is>
          <t>总投入(人时)</t>
        </is>
      </c>
      <c r="B66" s="77">
        <f>SUM($F$4:$F$59)</f>
        <v/>
      </c>
      <c r="C66" s="77" t="inlineStr">
        <is>
          <t>总产能(人时，2 人 × 9 天 × 8 小时)</t>
        </is>
      </c>
      <c r="D66" s="77">
        <f>2*9*8</f>
        <v/>
      </c>
      <c r="E66" s="77">
        <f>IF($B66&lt;=$D66,"工期可行：总投入未超产能，保留缓冲 31 人时","超出产能，须延长工期或裁剪范围")</f>
        <v/>
      </c>
    </row>
    <row r="68">
      <c r="A68" s="39" t="inlineStr">
        <is>
          <t>T-5 / T-3 前置门禁清单（等待型与研发型前置，不占用实施工期人力；G1–G7 与 G9 为 T-5 前置，G8 与 G10–G13 为 T-3 前置；全部完成才允许 D1 启动）</t>
        </is>
      </c>
    </row>
    <row r="69">
      <c r="A69" s="42" t="inlineStr">
        <is>
          <t>编号</t>
        </is>
      </c>
      <c r="B69" s="42" t="inlineStr">
        <is>
          <t>前置事项</t>
        </is>
      </c>
      <c r="C69" s="42" t="inlineStr">
        <is>
          <t>类别</t>
        </is>
      </c>
      <c r="D69" s="42" t="inlineStr">
        <is>
          <t>负责角色</t>
        </is>
      </c>
      <c r="E69" s="42" t="inlineStr">
        <is>
          <t>发起时点</t>
        </is>
      </c>
      <c r="F69" s="42" t="inlineStr">
        <is>
          <t>最长等待</t>
        </is>
      </c>
      <c r="G69" s="42" t="inlineStr">
        <is>
          <t>门禁作用</t>
        </is>
      </c>
    </row>
    <row r="70">
      <c r="A70" s="74" t="inlineStr">
        <is>
          <t>G1</t>
        </is>
      </c>
      <c r="B70" s="41" t="inlineStr">
        <is>
          <t>注册阿里云国际站账号并发起企业实名认证</t>
        </is>
      </c>
      <c r="C70" s="51" t="inlineStr">
        <is>
          <t>账号</t>
        </is>
      </c>
      <c r="D70" s="51" t="inlineStr">
        <is>
          <t>项目负责人</t>
        </is>
      </c>
      <c r="E70" s="51" t="inlineStr">
        <is>
          <t>T-5（说明与总览!$B$22）</t>
        </is>
      </c>
      <c r="F70" s="51" t="inlineStr">
        <is>
          <t>1–2 工作日</t>
        </is>
      </c>
      <c r="G70" s="41" t="inlineStr">
        <is>
          <t>未实名无法购买 ECS/RDS，直接阻塞 D1。（对应账号表 #1/#2）</t>
        </is>
      </c>
    </row>
    <row r="71">
      <c r="A71" s="74" t="inlineStr">
        <is>
          <t>G2</t>
        </is>
      </c>
      <c r="B71" s="41" t="inlineStr">
        <is>
          <t>提交资源配额工单（ECS vCPU / EIP / ALB / RDS / RDS 代理 / PgBouncer / GTM）</t>
        </is>
      </c>
      <c r="C71" s="51" t="inlineStr">
        <is>
          <t>配额</t>
        </is>
      </c>
      <c r="D71" s="51" t="inlineStr">
        <is>
          <t>运维负责人</t>
        </is>
      </c>
      <c r="E71" s="51" t="inlineStr">
        <is>
          <t>T-5</t>
        </is>
      </c>
      <c r="F71" s="51" t="inlineStr">
        <is>
          <t>2–3 工作日（关键路径）</t>
        </is>
      </c>
      <c r="G71" s="41" t="inlineStr">
        <is>
          <t>未批复无法创建节点池与出口 EIP。（对应账号表 #7）</t>
        </is>
      </c>
    </row>
    <row r="72">
      <c r="A72" s="74" t="inlineStr">
        <is>
          <t>G3</t>
        </is>
      </c>
      <c r="B72" s="41" t="inlineStr">
        <is>
          <t>开通后付费、绑定支付方式、设置预算告警</t>
        </is>
      </c>
      <c r="C72" s="51" t="inlineStr">
        <is>
          <t>账号</t>
        </is>
      </c>
      <c r="D72" s="51" t="inlineStr">
        <is>
          <t>财务</t>
        </is>
      </c>
      <c r="E72" s="51" t="inlineStr">
        <is>
          <t>T-5</t>
        </is>
      </c>
      <c r="F72" s="51" t="inlineStr">
        <is>
          <t>当日</t>
        </is>
      </c>
      <c r="G72" s="41" t="inlineStr">
        <is>
          <t>未开通无法下单。（对应账号表 #3）</t>
        </is>
      </c>
    </row>
    <row r="73">
      <c r="A73" s="74" t="inlineStr">
        <is>
          <t>G4</t>
        </is>
      </c>
      <c r="B73" s="41" t="inlineStr">
        <is>
          <t>域名注册 + 实名认证 + NS 指向云解析并 dig 验证</t>
        </is>
      </c>
      <c r="C73" s="51" t="inlineStr">
        <is>
          <t>域名</t>
        </is>
      </c>
      <c r="D73" s="51" t="inlineStr">
        <is>
          <t>项目负责人</t>
        </is>
      </c>
      <c r="E73" s="51" t="inlineStr">
        <is>
          <t>T-5</t>
        </is>
      </c>
      <c r="F73" s="51" t="inlineStr">
        <is>
          <t>24–48h 生效</t>
        </is>
      </c>
      <c r="G73" s="41" t="inlineStr">
        <is>
          <t>NS 未生效则 D1 接入层无法验证。（对应账号表 #13/#14/#15）</t>
        </is>
      </c>
    </row>
    <row r="74">
      <c r="A74" s="74" t="inlineStr">
        <is>
          <t>G5</t>
        </is>
      </c>
      <c r="B74" s="41" t="inlineStr">
        <is>
          <t>SSL 通配符证书申请（*.likha.com，TLS 1.2+1.3）</t>
        </is>
      </c>
      <c r="C74" s="51" t="inlineStr">
        <is>
          <t>证书</t>
        </is>
      </c>
      <c r="D74" s="51" t="inlineStr">
        <is>
          <t>运维负责人</t>
        </is>
      </c>
      <c r="E74" s="51" t="inlineStr">
        <is>
          <t>T-5</t>
        </is>
      </c>
      <c r="F74" s="51" t="inlineStr">
        <is>
          <t>1–24h</t>
        </is>
      </c>
      <c r="G74" s="41" t="inlineStr">
        <is>
          <t>无证书则 ALB/WAF HTTPS 不可用。（对应账号表 #17）</t>
        </is>
      </c>
    </row>
    <row r="75">
      <c r="A75" s="74" t="inlineStr">
        <is>
          <t>G6</t>
        </is>
      </c>
      <c r="B75" s="41" t="inlineStr">
        <is>
          <t>域名解析记录、GTM 地址池与证书部署配置模板就绪</t>
        </is>
      </c>
      <c r="C75" s="51" t="inlineStr">
        <is>
          <t>接入</t>
        </is>
      </c>
      <c r="D75" s="51" t="inlineStr">
        <is>
          <t>运维负责人</t>
        </is>
      </c>
      <c r="E75" s="51" t="inlineStr">
        <is>
          <t>T-5</t>
        </is>
      </c>
      <c r="F75" s="51" t="inlineStr">
        <is>
          <t>当日</t>
        </is>
      </c>
      <c r="G75" s="41" t="inlineStr">
        <is>
          <t>与 ALB/WAF 的创建时序对齐（原方案 D1 部署证书时 ALB 尚未创建，本版已修正为任务 #40 在 D6 执行）。（对应账号表 #16/#18）</t>
        </is>
      </c>
    </row>
    <row r="76">
      <c r="A76" s="74" t="inlineStr">
        <is>
          <t>G7</t>
        </is>
      </c>
      <c r="B76" s="41" t="inlineStr">
        <is>
          <t>开通全部云产品（网络/计算/数据/接入/观测/运维访问面）</t>
        </is>
      </c>
      <c r="C76" s="51" t="inlineStr">
        <is>
          <t>产品</t>
        </is>
      </c>
      <c r="D76" s="51" t="inlineStr">
        <is>
          <t>运维负责人</t>
        </is>
      </c>
      <c r="E76" s="51" t="inlineStr">
        <is>
          <t>T-5</t>
        </is>
      </c>
      <c r="F76" s="51" t="inlineStr">
        <is>
          <t>当日</t>
        </is>
      </c>
      <c r="G76" s="41" t="inlineStr">
        <is>
          <t>国际站需逐产品开通，未开通则无法下单。（对应账号表 #8–#12）</t>
        </is>
      </c>
    </row>
    <row r="77">
      <c r="A77" s="74" t="inlineStr">
        <is>
          <t>G8</t>
        </is>
      </c>
      <c r="B77" s="41" t="inlineStr">
        <is>
          <t>代码侧补建项【完成并合并】：/healthz、/readyz、/metrics、限流降级改造（Redis 故障降级放行而非 fail-closed）</t>
        </is>
      </c>
      <c r="C77" s="51" t="inlineStr">
        <is>
          <t>研发</t>
        </is>
      </c>
      <c r="D77" s="51" t="inlineStr">
        <is>
          <t>后端负责人</t>
        </is>
      </c>
      <c r="E77" s="51" t="inlineStr">
        <is>
          <t>T-3</t>
        </is>
      </c>
      <c r="F77" s="51" t="inlineStr">
        <is>
          <t>1–2 工作日</t>
        </is>
      </c>
      <c r="G77" s="41" t="inlineStr">
        <is>
          <t>未完成则 SLA 99.95% 不成立（impl_deploy.md 8.2 最低配置 / R-05）；原 v2.0 仅要求「排期确认」，本版改为「必须完成」。属研发独立排期，不计入部署人时。</t>
        </is>
      </c>
    </row>
    <row r="78">
      <c r="A78" s="74" t="inlineStr">
        <is>
          <t>G9</t>
        </is>
      </c>
      <c r="B78" s="41" t="inlineStr">
        <is>
          <t>RAM 用户 / 资源组 / 成本标签 / MFA / ActionTrail 预建</t>
        </is>
      </c>
      <c r="C78" s="51" t="inlineStr">
        <is>
          <t>账号</t>
        </is>
      </c>
      <c r="D78" s="51" t="inlineStr">
        <is>
          <t>安全负责人</t>
        </is>
      </c>
      <c r="E78" s="51" t="inlineStr">
        <is>
          <t>T-5</t>
        </is>
      </c>
      <c r="F78" s="51" t="inlineStr">
        <is>
          <t>当日</t>
        </is>
      </c>
      <c r="G78" s="41" t="inlineStr">
        <is>
          <t>最小权限与审计是上线检查表必查项。（对应账号表 #4/#5/#6）</t>
        </is>
      </c>
    </row>
    <row r="79">
      <c r="A79" s="74" t="inlineStr">
        <is>
          <t>G10</t>
        </is>
      </c>
      <c r="B79" s="41" t="inlineStr">
        <is>
          <t>备 region 容量方案与配额确认（新加坡 ≥96 vCPU、HPA 2–24、节点池自动伸缩 2–12）</t>
        </is>
      </c>
      <c r="C79" s="51" t="inlineStr">
        <is>
          <t>容量</t>
        </is>
      </c>
      <c r="D79" s="51" t="inlineStr">
        <is>
          <t>运维负责人</t>
        </is>
      </c>
      <c r="E79" s="51" t="inlineStr">
        <is>
          <t>T-3</t>
        </is>
      </c>
      <c r="F79" s="51" t="inlineStr">
        <is>
          <t>当日</t>
        </is>
      </c>
      <c r="G79" s="41" t="inlineStr">
        <is>
          <t>未确认则备 region 无法满足「单站点全量接管 ≥ 被接管站点峰值 × 1.5」，M4 与 SLA 不达标。（对应账号表 #7 第二批工单）</t>
        </is>
      </c>
    </row>
    <row r="80">
      <c r="A80" s="74" t="inlineStr">
        <is>
          <t>G11</t>
        </is>
      </c>
      <c r="B80" s="41" t="inlineStr">
        <is>
          <t>连接数预算与 PgBouncer / RDS 代理方案确认（含三条不变量 I-1/I-2/I-3）</t>
        </is>
      </c>
      <c r="C80" s="51" t="inlineStr">
        <is>
          <t>数据</t>
        </is>
      </c>
      <c r="D80" s="51" t="inlineStr">
        <is>
          <t>后端负责人</t>
        </is>
      </c>
      <c r="E80" s="51" t="inlineStr">
        <is>
          <t>T-3</t>
        </is>
      </c>
      <c r="F80" s="51" t="inlineStr">
        <is>
          <t>当日</t>
        </is>
      </c>
      <c r="G80" s="41" t="inlineStr">
        <is>
          <t>主站扩到 16 实例时 300 × 16 = 4800 连接会打爆 PG（impl_deploy.md 8.5）。（对应账号表 #9）</t>
        </is>
      </c>
    </row>
    <row r="81">
      <c r="A81" s="74" t="inlineStr">
        <is>
          <t>G12</t>
        </is>
      </c>
      <c r="B81" s="41" t="inlineStr">
        <is>
          <t>SLA 口径与交付范围书面确认（五条口径 + 排除项 + 区域级故障边界 + 泰国二期）</t>
        </is>
      </c>
      <c r="C81" s="51" t="inlineStr">
        <is>
          <t>商务/架构</t>
        </is>
      </c>
      <c r="D81" s="51" t="inlineStr">
        <is>
          <t>项目负责人</t>
        </is>
      </c>
      <c r="E81" s="51" t="inlineStr">
        <is>
          <t>T-3</t>
        </is>
      </c>
      <c r="F81" s="51" t="inlineStr">
        <is>
          <t>当日</t>
        </is>
      </c>
      <c r="G81" s="41" t="inlineStr">
        <is>
          <t>不确认则 D9 验收无法判定（例：马尼拉 region 故障 30 分钟是否构成违约）。见「里程碑与验收」SLA 指标口径一节。</t>
        </is>
      </c>
    </row>
    <row r="82">
      <c r="A82" s="74" t="inlineStr">
        <is>
          <t>G13</t>
        </is>
      </c>
      <c r="B82" s="41" t="inlineStr">
        <is>
          <t>staging / perf 环境方案确认（位置、规格、三数据库矩阵与压测矩阵承载方式）</t>
        </is>
      </c>
      <c r="C82" s="51" t="inlineStr">
        <is>
          <t>环境</t>
        </is>
      </c>
      <c r="D82" s="51" t="inlineStr">
        <is>
          <t>运维 + 后端</t>
        </is>
      </c>
      <c r="E82" s="51" t="inlineStr">
        <is>
          <t>T-3</t>
        </is>
      </c>
      <c r="F82" s="51" t="inlineStr">
        <is>
          <t>当日</t>
        </is>
      </c>
      <c r="G82" s="41" t="inlineStr">
        <is>
          <t>未确认则任务 #33 压测与 #45 无落点；与「新加坡不部署 RDS」红线的口径冲突需一并澄清。</t>
        </is>
      </c>
    </row>
    <row r="83">
      <c r="A83" s="78" t="inlineStr">
        <is>
          <t>G0 门禁：以上 G1–G13 任一项未完成，D1 不得启动。其中 G1–G7 与 G9 为 T-5 前置（等待型），G8 与 G10–G13 为 T-3 前置（研发/确认型）。9 天工期为「2 人全职 + 前置项全部就绪」口径，已保留 31 人时缓冲；若要回到 5 天口径，需新增第 3 人（约 +64 人时）或按「里程碑与验收」裁剪预案降级交付范围。</t>
        </is>
      </c>
    </row>
  </sheetData>
  <mergeCells count="15">
    <mergeCell ref="L2:M2"/>
    <mergeCell ref="A61:AD61"/>
    <mergeCell ref="AB2:AD2"/>
    <mergeCell ref="A2:I2"/>
    <mergeCell ref="A83:AD83"/>
    <mergeCell ref="T2:U2"/>
    <mergeCell ref="V2:W2"/>
    <mergeCell ref="X2:Y2"/>
    <mergeCell ref="Z2:AA2"/>
    <mergeCell ref="J2:K2"/>
    <mergeCell ref="N2:O2"/>
    <mergeCell ref="R2:S2"/>
    <mergeCell ref="P2:Q2"/>
    <mergeCell ref="B65:AD65"/>
    <mergeCell ref="A68:AD68"/>
  </mergeCells>
  <conditionalFormatting sqref="J4:AA59">
    <cfRule type="cellIs" priority="1" operator="equal" dxfId="2">
      <formula>"■■"</formula>
    </cfRule>
  </conditionalFormatting>
  <conditionalFormatting sqref="J63:AA64">
    <cfRule type="cellIs" priority="2" operator="greaterThan" dxfId="3">
      <formula>4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4"/>
  <sheetViews>
    <sheetView workbookViewId="0">
      <selection activeCell="A1" sqref="A1"/>
    </sheetView>
  </sheetViews>
  <sheetFormatPr baseColWidth="8" defaultRowHeight="15"/>
  <cols>
    <col width="30" customWidth="1" style="3" min="1" max="1"/>
    <col width="12" customWidth="1" style="3" min="2" max="2"/>
    <col width="13" customWidth="1" style="3" min="3" max="3"/>
    <col width="52" customWidth="1" style="3" min="4" max="4"/>
    <col width="44" customWidth="1" style="3" min="5" max="5"/>
    <col width="12" customWidth="1" style="3" min="6" max="6"/>
    <col width="10" customWidth="1" style="3" min="7" max="7"/>
    <col width="34" customWidth="1" style="3" min="8" max="8"/>
  </cols>
  <sheetData>
    <row r="1" ht="24" customHeight="1" s="3">
      <c r="A1" s="79" t="inlineStr">
        <is>
          <t>里程碑门禁、验收证据、SLA 指标口径、关键风险与工期裁剪预案</t>
        </is>
      </c>
    </row>
    <row r="3">
      <c r="A3" s="42" t="inlineStr">
        <is>
          <t>里程碑</t>
        </is>
      </c>
      <c r="B3" s="42" t="inlineStr">
        <is>
          <t>偏移(日，D1=0)</t>
        </is>
      </c>
      <c r="C3" s="42" t="inlineStr">
        <is>
          <t>目标日期</t>
        </is>
      </c>
      <c r="D3" s="42" t="inlineStr">
        <is>
          <t>通过标准</t>
        </is>
      </c>
      <c r="E3" s="42" t="inlineStr">
        <is>
          <t>验收证据</t>
        </is>
      </c>
      <c r="F3" s="42" t="inlineStr">
        <is>
          <t>负责角色</t>
        </is>
      </c>
      <c r="G3" s="42" t="inlineStr">
        <is>
          <t>状态</t>
        </is>
      </c>
      <c r="H3" s="42" t="inlineStr">
        <is>
          <t>备注</t>
        </is>
      </c>
    </row>
    <row r="4">
      <c r="A4" s="40" t="inlineStr">
        <is>
          <t>G0 前置门禁通过</t>
        </is>
      </c>
      <c r="B4" s="51" t="n">
        <v>-5</v>
      </c>
      <c r="C4" s="83">
        <f>说明与总览!$B$21+B4</f>
        <v/>
      </c>
      <c r="D4" s="41" t="inlineStr">
        <is>
          <t>T-5 = 前置启动日。G1–G13 全部完成：账号可下单、配额已批复、域名 NS 生效、证书已签发、代码侧补建完成、备 region 容量与连接数方案确认、SLA 口径与交付范围书面确认、staging/perf 方案确认</t>
        </is>
      </c>
      <c r="E4" s="41" t="inlineStr">
        <is>
          <t>实名认证截图、配额批复工单号、dig NS 结果、证书 ID、G8 代码合并记录、G12 确认邮件</t>
        </is>
      </c>
      <c r="F4" s="51" t="inlineStr">
        <is>
          <t>项目负责人</t>
        </is>
      </c>
      <c r="G4" s="51" t="inlineStr">
        <is>
          <t>未开始</t>
        </is>
      </c>
      <c r="H4" s="41" t="inlineStr">
        <is>
          <t>未通过则 9 天工期不可达，必须顺延</t>
        </is>
      </c>
    </row>
    <row r="5">
      <c r="A5" s="40" t="inlineStr">
        <is>
          <t>M1 D2 结束：合规与数据底座就绪</t>
        </is>
      </c>
      <c r="B5" s="51" t="n">
        <v>1</v>
      </c>
      <c r="C5" s="83">
        <f>说明与总览!$B$21+B5</f>
        <v/>
      </c>
      <c r="D5" s="41" t="inlineStr">
        <is>
          <t>账号合规收口、马尼拉网络底座（VPC/vSwitch/NAT/EIP）可用、RDS/Tair/ClickHouse/OSS 已创建并备份策略生效</t>
        </is>
      </c>
      <c r="E5" s="41" t="inlineStr">
        <is>
          <t>VPC/EIP 清单、RDS 实例详情、Tair 与 CH 连接测试记录、备份任务记录</t>
        </is>
      </c>
      <c r="F5" s="51" t="inlineStr">
        <is>
          <t>人员A / 人员B</t>
        </is>
      </c>
      <c r="G5" s="51" t="inlineStr">
        <is>
          <t>未开始</t>
        </is>
      </c>
      <c r="H5" s="41" t="inlineStr">
        <is>
          <t>RDS 主备跨可用区；备份任务已有可恢复时间点</t>
        </is>
      </c>
    </row>
    <row r="6">
      <c r="A6" s="40" t="inlineStr">
        <is>
          <t>M2 D4 结束：计算底座与主库就绪</t>
        </is>
      </c>
      <c r="B6" s="51" t="n">
        <v>3</v>
      </c>
      <c r="C6" s="83">
        <f>说明与总览!$B$21+B6</f>
        <v/>
      </c>
      <c r="D6" s="41" t="inlineStr">
        <is>
          <t>ACK 集群与 4 节点 Ready、RDS 账号与备份策略生效、双地域 ACR 可拉取镜像、master 迁移幂等、PgBouncer 与连接数预算落地、staging/perf 环境可执行三数据库矩阵</t>
        </is>
      </c>
      <c r="E6" s="41" t="inlineStr">
        <is>
          <t>节点列表、RDS 备份列表、镜像拉取记录、迁移两次的幂等验证记录、连接数预算表、三库矩阵用例结果</t>
        </is>
      </c>
      <c r="F6" s="51" t="inlineStr">
        <is>
          <t>人员A / 人员B</t>
        </is>
      </c>
      <c r="G6" s="51" t="inlineStr">
        <is>
          <t>未开始</t>
        </is>
      </c>
      <c r="H6" s="41" t="inlineStr">
        <is>
          <t>master 迁移必须连续两次结果一致；PgBouncer cl_waiting 无堆积</t>
        </is>
      </c>
    </row>
    <row r="7">
      <c r="A7" s="40" t="inlineStr">
        <is>
          <t>M3 D7 结束：接入层打通且主站点可灰度</t>
        </is>
      </c>
      <c r="B7" s="51" t="n">
        <v>6</v>
      </c>
      <c r="C7" s="83">
        <f>说明与总览!$B$21+B7</f>
        <v/>
      </c>
      <c r="D7" s="41" t="inlineStr">
        <is>
          <t>ALB/WAF/GTM 生效、证书部署与 SNI 校验通过、stable 4 副本跨 AZ、安全组与白名单核对通过、主站 HPA 与节点池自动伸缩生效、运维访问面可用</t>
        </is>
      </c>
      <c r="E7" s="41" t="inlineStr">
        <is>
          <t>ALB 健康检查截图、WAF 拦截记录与合规判分、Pod 跨 AZ 分布截图、安全组核对表、HPA 扩容记录、kubeconfig 与 API Server 端点策略截图</t>
        </is>
      </c>
      <c r="F7" s="51" t="inlineStr">
        <is>
          <t>人员A / 人员B</t>
        </is>
      </c>
      <c r="G7" s="51" t="inlineStr">
        <is>
          <t>未开始</t>
        </is>
      </c>
      <c r="H7" s="41" t="inlineStr">
        <is>
          <t>此时系统已可对外提供服务（仅主站点）</t>
        </is>
      </c>
    </row>
    <row r="8">
      <c r="A8" s="40" t="inlineStr">
        <is>
          <t>M4 D8 结束：备 region 接管可用且可观测就绪</t>
        </is>
      </c>
      <c r="B8" s="51" t="n">
        <v>7</v>
      </c>
      <c r="C8" s="83">
        <f>说明与总览!$B$21+B8</f>
        <v/>
      </c>
      <c r="D8" s="41" t="inlineStr">
        <is>
          <t>备 region 公网读写马尼拉主库成功（连接 RTT ≤ 70 ms）、PH 备 2 副本 Ready 且可扩容至 24 副本、接管容量实测 ≥ 主站峰值 × 1.5、SLS/ARMS/Grafana/拨测可见、canary 权重可用</t>
        </is>
      </c>
      <c r="E8" s="41" t="inlineStr">
        <is>
          <t>连接测试记录（含 sslmode=verify-full）、扩容压测记录、Pod 配置截图、拨测报表、看板截图</t>
        </is>
      </c>
      <c r="F8" s="51" t="inlineStr">
        <is>
          <t>人员A / 人员B</t>
        </is>
      </c>
      <c r="G8" s="51" t="inlineStr">
        <is>
          <t>未开始</t>
        </is>
      </c>
      <c r="H8" s="41" t="inlineStr">
        <is>
          <t>阻断线：RTT &gt; 100 ms 或连接失败率 &gt; 0.1%（5 分钟滑动窗口）时暂不挂入 GTM；接管容量 ≥ 主站峰值 16 × 1.5 = 24 副本</t>
        </is>
      </c>
    </row>
    <row r="9">
      <c r="A9" s="40" t="inlineStr">
        <is>
          <t>M5 D9 结束：演练通过、正式上线并完成移交</t>
        </is>
      </c>
      <c r="B9" s="51" t="n">
        <v>8</v>
      </c>
      <c r="C9" s="83">
        <f>说明与总览!$B$21+B9</f>
        <v/>
      </c>
      <c r="D9" s="41" t="inlineStr">
        <is>
          <t>备 region 接管与主库切换/PITR 恢复演练通过、Tair 预热验证通过、压测达标、安全核查无高危项、上线检查表通过、上游 8 个 EIP 白名单生效确认</t>
        </is>
      </c>
      <c r="E9" s="41" t="inlineStr">
        <is>
          <t>演练报告（含 RTO/RPO）、压测报告、安全核查清单、上线检查表、Runbook、供应商白名单生效回执</t>
        </is>
      </c>
      <c r="F9" s="51" t="inlineStr">
        <is>
          <t>人员A / 人员B</t>
        </is>
      </c>
      <c r="G9" s="51" t="inlineStr">
        <is>
          <t>未开始</t>
        </is>
      </c>
      <c r="H9" s="41" t="inlineStr">
        <is>
          <t>上线后 1 小时值守观察</t>
        </is>
      </c>
    </row>
    <row r="11">
      <c r="A11" s="39" t="inlineStr">
        <is>
          <t>关键风险与前置依赖（2 人 / 9 天口径）</t>
        </is>
      </c>
    </row>
    <row r="12">
      <c r="A12" s="42" t="inlineStr">
        <is>
          <t>风险 / 前置依赖</t>
        </is>
      </c>
      <c r="B12" s="42" t="inlineStr">
        <is>
          <t>影响</t>
        </is>
      </c>
      <c r="C12" s="42" t="inlineStr">
        <is>
          <t>应对措施</t>
        </is>
      </c>
      <c r="D12" s="42" t="inlineStr">
        <is>
          <t>责任角色</t>
        </is>
      </c>
      <c r="E12" s="42" t="inlineStr">
        <is>
          <t>触发信号</t>
        </is>
      </c>
      <c r="F12" s="42" t="inlineStr">
        <is>
          <t>风险等级</t>
        </is>
      </c>
      <c r="G12" s="42" t="inlineStr">
        <is>
          <t>剩余风险</t>
        </is>
      </c>
      <c r="H12" s="42" t="inlineStr">
        <is>
          <t>备注</t>
        </is>
      </c>
    </row>
    <row r="13">
      <c r="A13" s="40" t="inlineStr">
        <is>
          <t>企业实名认证或配额审批未在 T-5 完成</t>
        </is>
      </c>
      <c r="B13" s="51" t="inlineStr">
        <is>
          <t>工期直接不可达，全案顺延</t>
        </is>
      </c>
      <c r="C13" s="51" t="inlineStr">
        <is>
          <t>T-5 上午立即提交；每日 18:00 跟进工单；先用已批复配额创建 VPC/ALB 等低配额资源</t>
        </is>
      </c>
      <c r="D13" s="41" t="inlineStr">
        <is>
          <t>项目负责人</t>
        </is>
      </c>
      <c r="E13" s="41" t="inlineStr">
        <is>
          <t>T-5 日落前未通过 / 未批复</t>
        </is>
      </c>
      <c r="F13" s="51" t="inlineStr">
        <is>
          <t>高</t>
        </is>
      </c>
      <c r="G13" s="51" t="inlineStr">
        <is>
          <t>工期顺延 2–3 天</t>
        </is>
      </c>
      <c r="H13" s="41" t="inlineStr">
        <is>
          <t>唯一的外部不可控项，已在 G1/G2 列为门禁</t>
        </is>
      </c>
    </row>
    <row r="14">
      <c r="A14" s="40" t="inlineStr">
        <is>
          <t>备 region 配额（新加坡 ≥96 vCPU）未批复</t>
        </is>
      </c>
      <c r="B14" s="51" t="inlineStr">
        <is>
          <t>备 region 无法满足「接管 ≥ 峰值 × 1.5」，M4 与 SLA 不达标</t>
        </is>
      </c>
      <c r="C14" s="51" t="inlineStr">
        <is>
          <t>与主站点配额分开申请并在 T-3 前跟进；未批复时先按 HPA max 12 交付，并书面记录 SLA 降级</t>
        </is>
      </c>
      <c r="D14" s="41" t="inlineStr">
        <is>
          <t>运维负责人</t>
        </is>
      </c>
      <c r="E14" s="41" t="inlineStr">
        <is>
          <t>T-3 配额工单未批复</t>
        </is>
      </c>
      <c r="F14" s="51" t="inlineStr">
        <is>
          <t>高</t>
        </is>
      </c>
      <c r="G14" s="51" t="inlineStr">
        <is>
          <t>SLA 口径需下调或追加预算</t>
        </is>
      </c>
      <c r="H14" s="41" t="inlineStr">
        <is>
          <t>G10 门禁</t>
        </is>
      </c>
    </row>
    <row r="15">
      <c r="A15" s="40" t="inlineStr">
        <is>
          <t>代码侧补建项（/healthz、/readyz、/metrics、限流降级）未在 T-3 完成</t>
        </is>
      </c>
      <c r="B15" s="51" t="inlineStr">
        <is>
          <t>探针不准确、监控缺失、Tair 故障时 fail-closed 直接 5xx → SLA 99.95% 不成立</t>
        </is>
      </c>
      <c r="C15" s="51" t="inlineStr">
        <is>
          <t>T-3 前完成开发与合并（G8）；未完成则 D1 不得启动，或用 /api/status + TCP 临时替代并接受指标置信度下降</t>
        </is>
      </c>
      <c r="D15" s="41" t="inlineStr">
        <is>
          <t>后端负责人</t>
        </is>
      </c>
      <c r="E15" s="41" t="inlineStr">
        <is>
          <t>T-3 合并记录缺失或探针仍指向 /api/status</t>
        </is>
      </c>
      <c r="F15" s="51" t="inlineStr">
        <is>
          <t>高</t>
        </is>
      </c>
      <c r="G15" s="51" t="inlineStr">
        <is>
          <t>可用性指标置信度下降</t>
        </is>
      </c>
      <c r="H15" s="41" t="inlineStr">
        <is>
          <t>属研发工作量，不计入部署 80 人时；本版已从「排期确认」升级为「完成」</t>
        </is>
      </c>
    </row>
    <row r="16">
      <c r="A16" s="40" t="inlineStr">
        <is>
          <t>仅 2 人且无人员冗余</t>
        </is>
      </c>
      <c r="B16" s="51" t="inlineStr">
        <is>
          <t>任一人阻塞或请假，关键路径断裂导致整体延期</t>
        </is>
      </c>
      <c r="C16" s="51" t="inlineStr">
        <is>
          <t>明确 A/B 分工并互备关键命令；每日 15 分钟站会同步阻碍项；本版保留 31 人时缓冲（约 2 个时段）</t>
        </is>
      </c>
      <c r="D16" s="41" t="inlineStr">
        <is>
          <t>项目负责人</t>
        </is>
      </c>
      <c r="E16" s="41" t="inlineStr">
        <is>
          <t>单日任务完成率 &lt; 80%</t>
        </is>
      </c>
      <c r="F16" s="51" t="inlineStr">
        <is>
          <t>中</t>
        </is>
      </c>
      <c r="G16" s="51" t="inlineStr">
        <is>
          <t>需临时补充第三人</t>
        </is>
      </c>
      <c r="H16" s="41" t="inlineStr">
        <is>
          <t>A 负责网络/接入，B 负责数据/应用；原「无缓冲」已修正</t>
        </is>
      </c>
    </row>
    <row r="17">
      <c r="A17" s="40" t="inlineStr">
        <is>
          <t>域名 NS 生效需 24–48 小时</t>
        </is>
      </c>
      <c r="B17" s="51" t="inlineStr">
        <is>
          <t>D1 接入层无法验证，顺延 D3</t>
        </is>
      </c>
      <c r="C17" s="51" t="inlineStr">
        <is>
          <t>T-5 完成 NS 托管并 dig 验证；未生效前先用 ALB 默认域名完成配置验证</t>
        </is>
      </c>
      <c r="D17" s="41" t="inlineStr">
        <is>
          <t>运维负责人</t>
        </is>
      </c>
      <c r="E17" s="41" t="inlineStr">
        <is>
          <t>dig 返回非阿里云 DNS</t>
        </is>
      </c>
      <c r="F17" s="51" t="inlineStr">
        <is>
          <t>中</t>
        </is>
      </c>
      <c r="G17" s="51" t="inlineStr">
        <is>
          <t>顺延 1 天</t>
        </is>
      </c>
      <c r="H17" s="41" t="inlineStr">
        <is>
          <t>已在 G4 列为门禁</t>
        </is>
      </c>
    </row>
    <row r="18">
      <c r="A18" s="40" t="inlineStr">
        <is>
          <t>新加坡 → 马尼拉 RDS 公网延迟或抖动</t>
        </is>
      </c>
      <c r="B18" s="51" t="inlineStr">
        <is>
          <t>备 region 接管期写延迟抬升，影响体感</t>
        </is>
      </c>
      <c r="C18" s="51" t="inlineStr">
        <is>
          <t>D7 完成实测并留存基线；RTT &gt; 100 ms 或失败率 &gt; 0.1%（5 分钟窗口）时暂不把备 region 挂入 GTM 备地址池；建议评估以 CEN / VPC 对等替代公网直连</t>
        </is>
      </c>
      <c r="D18" s="41" t="inlineStr">
        <is>
          <t>人员B</t>
        </is>
      </c>
      <c r="E18" s="41" t="inlineStr">
        <is>
          <t>拨测 RTT 超标</t>
        </is>
      </c>
      <c r="F18" s="51" t="inlineStr">
        <is>
          <t>中</t>
        </is>
      </c>
      <c r="G18" s="51" t="inlineStr">
        <is>
          <t>接管期写入 P99 抬升 ≤ 80ms</t>
        </is>
      </c>
      <c r="H18" s="41" t="inlineStr">
        <is>
          <t>链路不健康时阻断接管（任务 #39）</t>
        </is>
      </c>
    </row>
    <row r="19">
      <c r="A19" s="40" t="inlineStr">
        <is>
          <t>备 region 误以 master 启动导致并发迁移同一 schema</t>
        </is>
      </c>
      <c r="B19" s="51" t="inlineStr">
        <is>
          <t>迁移冲突、锁表甚至数据损坏</t>
        </is>
      </c>
      <c r="C19" s="51" t="inlineStr">
        <is>
          <t>备 region 固定 NODE_TYPE=slave 并纳入部署门禁校验；备 region 不授予迁移权限账号</t>
        </is>
      </c>
      <c r="D19" s="41" t="inlineStr">
        <is>
          <t>人员B</t>
        </is>
      </c>
      <c r="E19" s="41" t="inlineStr">
        <is>
          <t>备 region 日志出现 AutoMigrate</t>
        </is>
      </c>
      <c r="F19" s="51" t="inlineStr">
        <is>
          <t>中</t>
        </is>
      </c>
      <c r="G19" s="51" t="inlineStr">
        <is>
          <t>可控（门禁拦截）</t>
        </is>
      </c>
      <c r="H19" s="41" t="inlineStr">
        <is>
          <t>红线项</t>
        </is>
      </c>
    </row>
    <row r="20">
      <c r="A20" s="40" t="inlineStr">
        <is>
          <t>双写风险（主站点与备 region 同时写同一主库）</t>
        </is>
      </c>
      <c r="B20" s="51" t="inlineStr">
        <is>
          <t>计费对账分裂、额度超扣或重复扣</t>
        </is>
      </c>
      <c r="C20" s="51" t="inlineStr">
        <is>
          <t>GTM 健康探测 + 主站点 ALB 摘流共同收口；禁止本地库、只读副本与 DTS 链路；上线前演练验证</t>
        </is>
      </c>
      <c r="D20" s="41" t="inlineStr">
        <is>
          <t>人员A</t>
        </is>
      </c>
      <c r="E20" s="41" t="inlineStr">
        <is>
          <t>同一 request_id 出现双写记录</t>
        </is>
      </c>
      <c r="F20" s="51" t="inlineStr">
        <is>
          <t>中</t>
        </is>
      </c>
      <c r="G20" s="51" t="inlineStr">
        <is>
          <t>可控（架构层面消除）</t>
        </is>
      </c>
      <c r="H20" s="41" t="inlineStr">
        <is>
          <t>红线项</t>
        </is>
      </c>
    </row>
    <row r="21">
      <c r="A21" s="40" t="inlineStr">
        <is>
          <t>PgBouncer / RDS 代理成为新增单点</t>
        </is>
      </c>
      <c r="B21" s="51" t="inlineStr">
        <is>
          <t>池故障时全站不可用</t>
        </is>
      </c>
      <c r="C21" s="51" t="inlineStr">
        <is>
          <t>3 副本 + PDB minAvailable=2 + 跨 AZ 反亲和；应用侧自动重连 + RetryTimes；预置「回退直连」应急 DSN 与演练</t>
        </is>
      </c>
      <c r="D21" s="41" t="inlineStr">
        <is>
          <t>人员B</t>
        </is>
      </c>
      <c r="E21" s="41" t="inlineStr">
        <is>
          <t>池 cl_waiting 持续堆积或 query_wait_timeout 报错</t>
        </is>
      </c>
      <c r="F21" s="51" t="inlineStr">
        <is>
          <t>中</t>
        </is>
      </c>
      <c r="G21" s="51" t="inlineStr">
        <is>
          <t>单副本 ≤ 30s 恢复；全层回退分钟级</t>
        </is>
      </c>
      <c r="H21" s="41" t="inlineStr">
        <is>
          <t>impl_deploy.md 8.4 故障域表已纳入</t>
        </is>
      </c>
    </row>
    <row r="22">
      <c r="A22" s="40" t="inlineStr">
        <is>
          <t>跨区公网链路（未走 CEN / VPC 对等）</t>
        </is>
      </c>
      <c r="B22" s="51" t="inlineStr">
        <is>
          <t>备 region → 主库链路概率性劣化，且公网暴露面更大</t>
        </is>
      </c>
      <c r="C22" s="51" t="inlineStr">
        <is>
          <t>T-3 评估 CEN / VPC 对等替代方案（需补开通项）；未替代前保留公网 + IP 白名单 + verify-full 收敛面</t>
        </is>
      </c>
      <c r="D22" s="41" t="inlineStr">
        <is>
          <t>人员A</t>
        </is>
      </c>
      <c r="E22" s="41" t="inlineStr">
        <is>
          <t>公网段抖动、连接失败率上升</t>
        </is>
      </c>
      <c r="F22" s="51" t="inlineStr">
        <is>
          <t>中</t>
        </is>
      </c>
      <c r="G22" s="51" t="inlineStr">
        <is>
          <t>接管成功率受影响</t>
        </is>
      </c>
      <c r="H22" s="41" t="inlineStr">
        <is>
          <t>架构改进项，优先级最高</t>
        </is>
      </c>
    </row>
    <row r="23">
      <c r="A23" s="40" t="inlineStr">
        <is>
          <t>上游渠道 RPM / TPM 配额不足</t>
        </is>
      </c>
      <c r="B23" s="51" t="inlineStr">
        <is>
          <t>网关核心容量约束，压测结论与真实吞吐不符</t>
        </is>
      </c>
      <c r="C23" s="51" t="inlineStr">
        <is>
          <t>T-8 前完成各渠道配额盘点并建立台账（任务 #51）；限流参数与配额对齐；必要时补充供应商账号</t>
        </is>
      </c>
      <c r="D23" s="41" t="inlineStr">
        <is>
          <t>人员B</t>
        </is>
      </c>
      <c r="E23" s="41" t="inlineStr">
        <is>
          <t>压测出现大量 429 / 渠道自动禁用告警</t>
        </is>
      </c>
      <c r="F23" s="51" t="inlineStr">
        <is>
          <t>中</t>
        </is>
      </c>
      <c r="G23" s="51" t="inlineStr">
        <is>
          <t>实际吞吐低于验收口径</t>
        </is>
      </c>
      <c r="H23" s="41" t="inlineStr">
        <is>
          <t>原方案完全未评估上游配额</t>
        </is>
      </c>
    </row>
    <row r="24">
      <c r="A24" s="40" t="inlineStr">
        <is>
          <t>成本超预算（出站带宽与 ALB LCU 为主要变量）</t>
        </is>
      </c>
      <c r="B24" s="51" t="inlineStr">
        <is>
          <t>需追加预算或降配</t>
        </is>
      </c>
      <c r="C24" s="51" t="inlineStr">
        <is>
          <t>成本标签 + 预算告警（80% 阈值）；量化表覆盖出站流量、ALB LCU、跨区公网读写、WAF 请求数、DCDN；备 region 可评估冷备形态（降低常态成本但拉长 RTO）</t>
        </is>
      </c>
      <c r="D24" s="41" t="inlineStr">
        <is>
          <t>财务</t>
        </is>
      </c>
      <c r="E24" s="41" t="inlineStr">
        <is>
          <t>月度账单达到预算 80%</t>
        </is>
      </c>
      <c r="F24" s="51" t="inlineStr">
        <is>
          <t>中</t>
        </is>
      </c>
      <c r="G24" s="51" t="inlineStr">
        <is>
          <t>RTO 由秒级变为分钟级</t>
        </is>
      </c>
      <c r="H24" s="41" t="inlineStr">
        <is>
          <t>本版新增成本量化任务 #52</t>
        </is>
      </c>
    </row>
    <row r="25">
      <c r="A25" s="40" t="inlineStr">
        <is>
          <t>staging / perf 环境未就绪</t>
        </is>
      </c>
      <c r="B25" s="51" t="inlineStr">
        <is>
          <t>压测与三数据库矩阵无落点，AGENTS.md 强制的三库验证缺失</t>
        </is>
      </c>
      <c r="C25" s="51" t="inlineStr">
        <is>
          <t>以马尼拉主站点命名空间 + 主站 RDS 逻辑隔离 schema 落地（任务 #45），澄清「新加坡不部署 RDS」红线仅约束 prod 备 region</t>
        </is>
      </c>
      <c r="D25" s="41" t="inlineStr">
        <is>
          <t>人员A</t>
        </is>
      </c>
      <c r="E25" s="41" t="inlineStr">
        <is>
          <t>D4 结束 M2 未包含环境就绪证据</t>
        </is>
      </c>
      <c r="F25" s="51" t="inlineStr">
        <is>
          <t>中</t>
        </is>
      </c>
      <c r="G25" s="51" t="inlineStr">
        <is>
          <t>压测结论置信度下降</t>
        </is>
      </c>
      <c r="H25" s="41" t="inlineStr">
        <is>
          <t>修复原方案 #33 无环境可跑</t>
        </is>
      </c>
    </row>
    <row r="26">
      <c r="A26" s="40" t="inlineStr">
        <is>
          <t>区域级 IaaS 故障（主库随马尼拉 region 失效）</t>
        </is>
      </c>
      <c r="B26" s="51" t="inlineStr">
        <is>
          <t>主站点整站故障时备 region 无库可写，原「RTO ≤ 5 min」在该情形下为伪能力</t>
        </is>
      </c>
      <c r="C26" s="51" t="inlineStr">
        <is>
          <t>已在 SLA 排除项②中排除并在 sheet7 明确「整站故障」边界 = 接入层 + 计算层，不含 RDS 所在 region 失效；RPO 依赖 PITR（目标 ≤ 5 min，须由恢复演练验证）；如客户要求覆盖该情形，需追加第三 region 主库方案</t>
        </is>
      </c>
      <c r="D26" s="41" t="inlineStr">
        <is>
          <t>架构 / 项目负责人</t>
        </is>
      </c>
      <c r="E26" s="41" t="inlineStr">
        <is>
          <t>阿里云公告马尼拉 region 级故障</t>
        </is>
      </c>
      <c r="F26" s="51" t="inlineStr">
        <is>
          <t>高</t>
        </is>
      </c>
      <c r="G26" s="51" t="inlineStr">
        <is>
          <t>须书面排除，否则验收口径不一致</t>
        </is>
      </c>
      <c r="H26" s="41" t="inlineStr">
        <is>
          <t>P0 缺口，本版通过口径澄清 + 演练闭环</t>
        </is>
      </c>
    </row>
    <row r="27">
      <c r="A27" s="40" t="inlineStr">
        <is>
          <t>交付范围仅菲律宾，泰国用户 RTT +55–80 ms</t>
        </is>
      </c>
      <c r="B27" s="51" t="inlineStr">
        <is>
          <t>与「主站点不能只放一个区域」的设计结论冲突</t>
        </is>
      </c>
      <c r="C27" s="51" t="inlineStr">
        <is>
          <t>在合同/验收口径中写明「本次仅覆盖菲律宾，泰国二期」；或把曼谷站点纳入二期范围并重估工期</t>
        </is>
      </c>
      <c r="D27" s="41" t="inlineStr">
        <is>
          <t>项目负责人</t>
        </is>
      </c>
      <c r="E27" s="41" t="inlineStr">
        <is>
          <t>泰国客户出现 TTFT 体感投诉</t>
        </is>
      </c>
      <c r="F27" s="51" t="inlineStr">
        <is>
          <t>中</t>
        </is>
      </c>
      <c r="G27" s="51" t="inlineStr">
        <is>
          <t>二期需补曼谷站点与 TH 备</t>
        </is>
      </c>
      <c r="H27" s="41" t="inlineStr">
        <is>
          <t>本版已在「交付范围（本次）」明确</t>
        </is>
      </c>
    </row>
    <row r="30">
      <c r="A30" s="39" t="inlineStr">
        <is>
          <t>SLA 指标口径与排除项（对齐 impl_deploy.md 8.1 / 8.2；D9 验收前必须书面确认）</t>
        </is>
      </c>
    </row>
    <row r="31">
      <c r="A31" s="42" t="inlineStr">
        <is>
          <t>项</t>
        </is>
      </c>
      <c r="B31" s="42" t="inlineStr">
        <is>
          <t>定义</t>
        </is>
      </c>
    </row>
    <row r="32">
      <c r="A32" s="40" t="inlineStr">
        <is>
          <t>服务窗口</t>
        </is>
      </c>
      <c r="B32" s="51" t="inlineStr">
        <is>
          <t>7×24，按自然月统计（30 天 = 43,200 分钟）</t>
        </is>
      </c>
      <c r="C32" s="63" t="n"/>
      <c r="D32" s="63" t="n"/>
      <c r="E32" s="63" t="n"/>
      <c r="F32" s="63" t="n"/>
      <c r="G32" s="63" t="n"/>
      <c r="H32" s="45" t="n"/>
    </row>
    <row r="33">
      <c r="A33" s="40" t="inlineStr">
        <is>
          <t>不可用</t>
        </is>
      </c>
      <c r="B33" s="51" t="inlineStr">
        <is>
          <t>在探测区域内，对 /v1/chat/completions（mock 上游固定回包）或 /api/status 连续 2 个 15 s 周期返回 5xx / 连接失败 / 超 10 s 无响应</t>
        </is>
      </c>
      <c r="C33" s="63" t="n"/>
      <c r="D33" s="63" t="n"/>
      <c r="E33" s="63" t="n"/>
      <c r="F33" s="63" t="n"/>
      <c r="G33" s="63" t="n"/>
      <c r="H33" s="45" t="n"/>
    </row>
    <row r="34">
      <c r="A34" s="40" t="inlineStr">
        <is>
          <t>计划内维护</t>
        </is>
      </c>
      <c r="B34" s="51" t="inlineStr">
        <is>
          <t>提前 72 h 公告、每月 ≤ 30 min，且必须通过灰度实现零停机（零停机时不计入不可用）</t>
        </is>
      </c>
      <c r="C34" s="63" t="n"/>
      <c r="D34" s="63" t="n"/>
      <c r="E34" s="63" t="n"/>
      <c r="F34" s="63" t="n"/>
      <c r="G34" s="63" t="n"/>
      <c r="H34" s="45" t="n"/>
    </row>
    <row r="35">
      <c r="A35" s="40" t="inlineStr">
        <is>
          <t>部分降级</t>
        </is>
      </c>
      <c r="B35" s="51" t="inlineStr">
        <is>
          <t>成功率 &lt; 99.5% 或 p95 &gt; 阈值持续 5 min，计入 SLO 违约但不计入「完全不可用」，用错误预算单列跟踪</t>
        </is>
      </c>
      <c r="C35" s="63" t="n"/>
      <c r="D35" s="63" t="n"/>
      <c r="E35" s="63" t="n"/>
      <c r="F35" s="63" t="n"/>
      <c r="G35" s="63" t="n"/>
      <c r="H35" s="45" t="n"/>
    </row>
    <row r="36">
      <c r="A36" s="40" t="inlineStr">
        <is>
          <t>排除项</t>
        </is>
      </c>
      <c r="B36" s="51" t="inlineStr">
        <is>
          <t>① 上游供应商自身故障（new-api 只做透传与切换，不计网关 SLA）；② 阿里云公告的区域级 IaaS 故障；③ 客户侧网络与证书问题；④ 超出限流配额的 429</t>
        </is>
      </c>
      <c r="C36" s="63" t="n"/>
      <c r="D36" s="63" t="n"/>
      <c r="E36" s="63" t="n"/>
      <c r="F36" s="63" t="n"/>
      <c r="G36" s="63" t="n"/>
      <c r="H36" s="45" t="n"/>
    </row>
    <row r="37">
      <c r="A37" s="40" t="inlineStr">
        <is>
          <t>月度不可用预算</t>
        </is>
      </c>
      <c r="B37" s="51" t="inlineStr">
        <is>
          <t>43,200 × 0.05% = 21.6 分钟（周预算 5.04 分钟，日预算 0.72 分钟）</t>
        </is>
      </c>
      <c r="C37" s="63" t="n"/>
      <c r="D37" s="63" t="n"/>
      <c r="E37" s="63" t="n"/>
      <c r="F37" s="63" t="n"/>
      <c r="G37" s="63" t="n"/>
      <c r="H37" s="45" t="n"/>
    </row>
    <row r="38">
      <c r="A38" s="40" t="inlineStr">
        <is>
          <t>达成最低配置</t>
        </is>
      </c>
      <c r="B38" s="51" t="inlineStr">
        <is>
          <t>双站点 + 新加坡备 region + 主站 ≥4 副本跨 2 AZ + RDS 高可用 + Redis 限流降级改造（G8）；缺任一项则 99.95% 不成立</t>
        </is>
      </c>
      <c r="C38" s="63" t="n"/>
      <c r="D38" s="63" t="n"/>
      <c r="E38" s="63" t="n"/>
      <c r="F38" s="63" t="n"/>
      <c r="G38" s="63" t="n"/>
      <c r="H38" s="45" t="n"/>
    </row>
    <row r="39">
      <c r="A39" s="40" t="inlineStr">
        <is>
          <t>故障域边界（新增）</t>
        </is>
      </c>
      <c r="B39" s="51" t="inlineStr">
        <is>
          <t>「主站点整站故障 → RTO ≤ 5 min」的边界 = 接入层（ALB / WAF / GTM）+ 计算层（ACK / Pod）故障；不含 RDS 所在的马尼拉 region 整体失效（该情形属排除项②）。主库只存在于马尼拉一个 region，区域级故障下的 RPO 依赖 PITR 备份（目标 RPO ≤ 5 min，须由任务 #50 的恢复演练验证）。</t>
        </is>
      </c>
      <c r="C39" s="63" t="n"/>
      <c r="D39" s="63" t="n"/>
      <c r="E39" s="63" t="n"/>
      <c r="F39" s="63" t="n"/>
      <c r="G39" s="63" t="n"/>
      <c r="H39" s="45" t="n"/>
    </row>
    <row r="40">
      <c r="A40" s="40" t="inlineStr">
        <is>
          <t>指标阈值口径（新增）</t>
        </is>
      </c>
      <c r="B40" s="51" t="inlineStr">
        <is>
          <t>RTT 验收线：备 region → 主库连接 RTT ≤ 70 ms、接管期写入 P99 抬升 ≤ 80 ms；阻断线：RTT &gt; 100 ms 或连接失败率 &gt; 0.1%（5 分钟滑动窗口）。两者是「目标值」与「阻断值」，不是互相矛盾的阈值（原 v2.0 未区分标注，已澄清）。</t>
        </is>
      </c>
      <c r="C40" s="63" t="n"/>
      <c r="D40" s="63" t="n"/>
      <c r="E40" s="63" t="n"/>
      <c r="F40" s="63" t="n"/>
      <c r="G40" s="63" t="n"/>
      <c r="H40" s="45" t="n"/>
    </row>
    <row r="43">
      <c r="A43" s="39" t="inlineStr">
        <is>
          <t>工期裁剪预案（按以下顺序降级，优先保主站点可上线）</t>
        </is>
      </c>
    </row>
    <row r="44">
      <c r="A44" s="42" t="inlineStr">
        <is>
          <t>顺序</t>
        </is>
      </c>
      <c r="B44" s="42" t="inlineStr">
        <is>
          <t>裁剪项</t>
        </is>
      </c>
      <c r="C44" s="42" t="inlineStr">
        <is>
          <t>触发条件</t>
        </is>
      </c>
      <c r="D44" s="42" t="inlineStr">
        <is>
          <t>影响</t>
        </is>
      </c>
      <c r="E44" s="42" t="inlineStr">
        <is>
          <t>决策人</t>
        </is>
      </c>
      <c r="F44" s="42" t="inlineStr">
        <is>
          <t>是否影响 SLA</t>
        </is>
      </c>
      <c r="G44" s="42" t="inlineStr">
        <is>
          <t>可否上线后补齐</t>
        </is>
      </c>
      <c r="H44" s="42" t="inlineStr">
        <is>
          <t>备注</t>
        </is>
      </c>
    </row>
    <row r="45">
      <c r="A45" s="40" t="n">
        <v>1</v>
      </c>
      <c r="B45" s="51" t="inlineStr">
        <is>
          <t>DCDN 静态加速延后至上线后</t>
        </is>
      </c>
      <c r="C45" s="51" t="inlineStr">
        <is>
          <t>工期紧张</t>
        </is>
      </c>
      <c r="D45" s="41" t="inlineStr">
        <is>
          <t>静态资源不经 CDN，首屏略慢</t>
        </is>
      </c>
      <c r="E45" s="41" t="inlineStr">
        <is>
          <t>项目负责人</t>
        </is>
      </c>
      <c r="F45" s="51" t="inlineStr">
        <is>
          <t>否</t>
        </is>
      </c>
      <c r="G45" s="51" t="inlineStr">
        <is>
          <t>可</t>
        </is>
      </c>
      <c r="H45" s="41" t="inlineStr">
        <is>
          <t>改动最小</t>
        </is>
      </c>
    </row>
    <row r="46">
      <c r="A46" s="40" t="n">
        <v>2</v>
      </c>
      <c r="B46" s="51" t="inlineStr">
        <is>
          <t>RDS 只读实例取消</t>
        </is>
      </c>
      <c r="C46" s="51" t="inlineStr">
        <is>
          <t>成本或工期紧张</t>
        </is>
      </c>
      <c r="D46" s="41" t="inlineStr">
        <is>
          <t>报表查询与主库争用</t>
        </is>
      </c>
      <c r="E46" s="41" t="inlineStr">
        <is>
          <t>人员B</t>
        </is>
      </c>
      <c r="F46" s="51" t="inlineStr">
        <is>
          <t>否</t>
        </is>
      </c>
      <c r="G46" s="51" t="inlineStr">
        <is>
          <t>可</t>
        </is>
      </c>
      <c r="H46" s="41" t="inlineStr">
        <is>
          <t>—</t>
        </is>
      </c>
    </row>
    <row r="47">
      <c r="A47" s="40" t="n">
        <v>3</v>
      </c>
      <c r="B47" s="51" t="inlineStr">
        <is>
          <t>备 region 本地 ClickHouse 暂用主站点 ClickHouse</t>
        </is>
      </c>
      <c r="C47" s="51" t="inlineStr">
        <is>
          <t>工期紧张</t>
        </is>
      </c>
      <c r="D47" s="41" t="inlineStr">
        <is>
          <t>备 region 日志跨区写入，接管期略慢</t>
        </is>
      </c>
      <c r="E47" s="41" t="inlineStr">
        <is>
          <t>人员B</t>
        </is>
      </c>
      <c r="F47" s="51" t="inlineStr">
        <is>
          <t>否</t>
        </is>
      </c>
      <c r="G47" s="51" t="inlineStr">
        <is>
          <t>可</t>
        </is>
      </c>
      <c r="H47" s="41" t="inlineStr">
        <is>
          <t>不影响主链路</t>
        </is>
      </c>
    </row>
    <row r="48">
      <c r="A48" s="40" t="n">
        <v>4</v>
      </c>
      <c r="B48" s="51" t="inlineStr">
        <is>
          <t>压测验收缩短为关键场景抽测</t>
        </is>
      </c>
      <c r="C48" s="51" t="inlineStr">
        <is>
          <t>D9 时间不足</t>
        </is>
      </c>
      <c r="D48" s="41" t="inlineStr">
        <is>
          <t>容量结论置信度下降</t>
        </is>
      </c>
      <c r="E48" s="41" t="inlineStr">
        <is>
          <t>人员A</t>
        </is>
      </c>
      <c r="F48" s="51" t="inlineStr">
        <is>
          <t>否</t>
        </is>
      </c>
      <c r="G48" s="51" t="inlineStr">
        <is>
          <t>可</t>
        </is>
      </c>
      <c r="H48" s="41" t="inlineStr">
        <is>
          <t>需上线后一周内补测</t>
        </is>
      </c>
    </row>
    <row r="49">
      <c r="A49" s="40" t="n">
        <v>5</v>
      </c>
      <c r="B49" s="51" t="inlineStr">
        <is>
          <t>备 region 热备（2 副本）改为冷备（0 副本 + GTM 触发扩容）</t>
        </is>
      </c>
      <c r="C49" s="51" t="inlineStr">
        <is>
          <t>成本优先</t>
        </is>
      </c>
      <c r="D49" s="41" t="inlineStr">
        <is>
          <t>接管 RTO 由秒级变为分钟级</t>
        </is>
      </c>
      <c r="E49" s="41" t="inlineStr">
        <is>
          <t>项目负责人</t>
        </is>
      </c>
      <c r="F49" s="51" t="inlineStr">
        <is>
          <t>是（RTO 变长）</t>
        </is>
      </c>
      <c r="G49" s="51" t="inlineStr">
        <is>
          <t>可</t>
        </is>
      </c>
      <c r="H49" s="41" t="inlineStr">
        <is>
          <t>可用性仍可能满足 99.95%，但切换体验下降；此时 G10 的 96 vCPU 配额仍必须保留，否则无法扩容到 1.5× 接管容量</t>
        </is>
      </c>
    </row>
    <row r="50">
      <c r="A50" s="40" t="n">
        <v>6</v>
      </c>
      <c r="B50" s="51" t="inlineStr">
        <is>
          <t>GA 与泰国（曼谷）站点整体延后至二期</t>
        </is>
      </c>
      <c r="C50" s="51" t="inlineStr">
        <is>
          <t>—（本就不在本次交付范围）</t>
        </is>
      </c>
      <c r="D50" s="41" t="inlineStr">
        <is>
          <t>泰国用户 TTFT 多 55–80 ms；上游出口无加速</t>
        </is>
      </c>
      <c r="E50" s="41" t="inlineStr">
        <is>
          <t>项目负责人</t>
        </is>
      </c>
      <c r="F50" s="51" t="inlineStr">
        <is>
          <t>否（已在口径外）</t>
        </is>
      </c>
      <c r="G50" s="51" t="inlineStr">
        <is>
          <t>可</t>
        </is>
      </c>
      <c r="H50" s="41" t="inlineStr">
        <is>
          <t>二期立项时同步补曼谷站点与 TH 备</t>
        </is>
      </c>
    </row>
    <row r="51">
      <c r="A51" s="40" t="n">
        <v>7</v>
      </c>
      <c r="B51" s="51" t="inlineStr">
        <is>
          <t>备 region 整体延后至上线后第 2 周</t>
        </is>
      </c>
      <c r="C51" s="51" t="inlineStr">
        <is>
          <t>D9 结束仍未打通公网读写</t>
        </is>
      </c>
      <c r="D51" s="41" t="inlineStr">
        <is>
          <t>失去区域级容灾，SLA 目标不达标</t>
        </is>
      </c>
      <c r="E51" s="41" t="inlineStr">
        <is>
          <t>项目负责人</t>
        </is>
      </c>
      <c r="F51" s="51" t="inlineStr">
        <is>
          <t>是（SLA 不达标）</t>
        </is>
      </c>
      <c r="G51" s="51" t="inlineStr">
        <is>
          <t>可</t>
        </is>
      </c>
      <c r="H51" s="41" t="inlineStr">
        <is>
          <t>最后手段，需书面记录风险</t>
        </is>
      </c>
    </row>
    <row r="54">
      <c r="A54" s="78" t="inlineStr">
        <is>
          <t>工期口径变更说明（v2.0 -&gt; v2.1）：v2.0 的「5 天 / 10 时段 / 80 人时」为 100% 满负荷且前置期为 0 天；本版修正前置期（T-5）、补齐 17 项评审缺口任务后共 56 项 / 113 人时，在「2 人全职 + 单人每时段 ≤ 4 人时 + 现有依赖链」约束下压缩进 8 天（16 时段）经 600 次随机重排无可行解，故工期定为 9 天（18 时段 / 144 人时产能，利用率 78%，保留 31 人时缓冲）。如需回到 5 天口径，必须新增第 3 人（约 +64 人时）或按上方裁剪预案降级交付范围，二者不可兼得。</t>
        </is>
      </c>
    </row>
  </sheetData>
  <mergeCells count="14">
    <mergeCell ref="B36:H36"/>
    <mergeCell ref="B32:H32"/>
    <mergeCell ref="A30:H30"/>
    <mergeCell ref="B40:H40"/>
    <mergeCell ref="B35:H35"/>
    <mergeCell ref="A43:H43"/>
    <mergeCell ref="A54:H54"/>
    <mergeCell ref="B39:H39"/>
    <mergeCell ref="B38:H38"/>
    <mergeCell ref="A11:H11"/>
    <mergeCell ref="B33:H33"/>
    <mergeCell ref="A1:H1"/>
    <mergeCell ref="B34:H34"/>
    <mergeCell ref="B37:H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2026-09-23T10:15:10Z</dcterms:created>
  <dcterms:modified xsi:type="dcterms:W3CDTF">2026-09-23T10:11:07Z</dcterms:modified>
</cp:coreProperties>
</file>